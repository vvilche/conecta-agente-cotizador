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ectasa.sharepoint.com/sites/Servidor/Documentos compartidos/Comercial/Paneles/"/>
    </mc:Choice>
  </mc:AlternateContent>
  <xr:revisionPtr revIDLastSave="4657" documentId="11_1E9DDC3C93E25D86D2B320A52A44DF884507A205" xr6:coauthVersionLast="47" xr6:coauthVersionMax="47" xr10:uidLastSave="{7D281293-DBF0-4E51-A000-E05FE91210FA}"/>
  <bookViews>
    <workbookView xWindow="0" yWindow="500" windowWidth="28800" windowHeight="16040" xr2:uid="{00000000-000D-0000-FFFF-FFFF00000000}"/>
  </bookViews>
  <sheets>
    <sheet name="Panel" sheetId="1" r:id="rId1"/>
    <sheet name="Proyección Q1 (Enero)" sheetId="2" r:id="rId2"/>
    <sheet name="Proyección Q1 (Febrero)" sheetId="3" r:id="rId3"/>
    <sheet name="Proyección Q1 (Marzo)" sheetId="5" r:id="rId4"/>
    <sheet name="Proyección Q2 (Abril)" sheetId="6" r:id="rId5"/>
    <sheet name="Proyección Q2 (Mayo)" sheetId="7" r:id="rId6"/>
    <sheet name="Proyección Q2 (Junio)" sheetId="8" r:id="rId7"/>
    <sheet name="Proyección Q3 (Julio)" sheetId="9" r:id="rId8"/>
    <sheet name="Flujo" sheetId="4" state="hidden" r:id="rId9"/>
  </sheets>
  <definedNames>
    <definedName name="_xlnm._FilterDatabase" localSheetId="8" hidden="1">Flujo!$A$1:$I$41</definedName>
    <definedName name="_xlnm._FilterDatabase" localSheetId="0" hidden="1">Panel!$B$77:$K$153</definedName>
    <definedName name="_xlnm._FilterDatabase" localSheetId="2" hidden="1">'Proyección Q1 (Febrero)'!$A$1:$I$28</definedName>
    <definedName name="_xlnm._FilterDatabase" localSheetId="3" hidden="1">'Proyección Q1 (Marzo)'!$D$1:$D$28</definedName>
    <definedName name="_xlnm._FilterDatabase" localSheetId="4" hidden="1">'Proyección Q2 (Abril)'!$A$1:$I$130</definedName>
    <definedName name="_xlnm._FilterDatabase" localSheetId="6" hidden="1">'Proyección Q2 (Junio)'!$A$1:$I$54</definedName>
    <definedName name="_xlnm._FilterDatabase" localSheetId="5" hidden="1">'Proyección Q2 (Mayo)'!$A$1:$I$99</definedName>
    <definedName name="_xlnm._FilterDatabase" localSheetId="7" hidden="1">'Proyección Q3 (Julio)'!$A$1:$J$91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4" i="1" l="1"/>
  <c r="E156" i="1"/>
  <c r="E152" i="1"/>
  <c r="E150" i="1"/>
  <c r="E119" i="1"/>
  <c r="E96" i="1"/>
  <c r="E88" i="1"/>
  <c r="F107" i="1"/>
  <c r="I104" i="9"/>
  <c r="G152" i="1"/>
  <c r="H152" i="1"/>
  <c r="I152" i="1"/>
  <c r="J152" i="1"/>
  <c r="F152" i="1"/>
  <c r="D152" i="1"/>
  <c r="AA65" i="9"/>
  <c r="Z65" i="9"/>
  <c r="Y65" i="9"/>
  <c r="X65" i="9"/>
  <c r="W65" i="9"/>
  <c r="V65" i="9"/>
  <c r="V95" i="9" s="1"/>
  <c r="V98" i="9" s="1"/>
  <c r="U65" i="9"/>
  <c r="T65" i="9"/>
  <c r="Q65" i="9"/>
  <c r="P65" i="9"/>
  <c r="O65" i="9"/>
  <c r="S91" i="9"/>
  <c r="R91" i="9"/>
  <c r="Q91" i="9"/>
  <c r="S75" i="9"/>
  <c r="R75" i="9"/>
  <c r="P75" i="9"/>
  <c r="S73" i="9"/>
  <c r="R73" i="9"/>
  <c r="P73" i="9"/>
  <c r="Z47" i="9"/>
  <c r="Y47" i="9"/>
  <c r="X47" i="9"/>
  <c r="W47" i="9"/>
  <c r="V47" i="9"/>
  <c r="U47" i="9"/>
  <c r="T47" i="9"/>
  <c r="S47" i="9"/>
  <c r="O47" i="9"/>
  <c r="S59" i="9"/>
  <c r="R59" i="9"/>
  <c r="X53" i="9"/>
  <c r="V53" i="9"/>
  <c r="U53" i="9"/>
  <c r="T53" i="9"/>
  <c r="S53" i="9"/>
  <c r="R53" i="9"/>
  <c r="P53" i="9"/>
  <c r="P95" i="9" s="1"/>
  <c r="P98" i="9" s="1"/>
  <c r="I76" i="9"/>
  <c r="U95" i="9"/>
  <c r="U98" i="9" s="1"/>
  <c r="S21" i="9"/>
  <c r="R21" i="9"/>
  <c r="Q21" i="9"/>
  <c r="N21" i="9"/>
  <c r="N95" i="9"/>
  <c r="N98" i="9" s="1"/>
  <c r="M21" i="9"/>
  <c r="M95" i="9" s="1"/>
  <c r="T9" i="9"/>
  <c r="S9" i="9"/>
  <c r="R9" i="9"/>
  <c r="O9" i="9"/>
  <c r="T3" i="9"/>
  <c r="S3" i="9"/>
  <c r="R3" i="9"/>
  <c r="Q3" i="9"/>
  <c r="Q95" i="9" s="1"/>
  <c r="Q98" i="9" s="1"/>
  <c r="O3" i="9"/>
  <c r="G150" i="1"/>
  <c r="H150" i="1"/>
  <c r="I150" i="1"/>
  <c r="J150" i="1"/>
  <c r="F150" i="1"/>
  <c r="J58" i="8" s="1"/>
  <c r="K58" i="8" s="1"/>
  <c r="D150" i="1"/>
  <c r="I62" i="9"/>
  <c r="O62" i="9" s="1"/>
  <c r="I32" i="9"/>
  <c r="I30" i="9"/>
  <c r="I28" i="9"/>
  <c r="I26" i="9"/>
  <c r="I24" i="9"/>
  <c r="I44" i="9"/>
  <c r="I4" i="9"/>
  <c r="O5" i="9" s="1"/>
  <c r="I88" i="9"/>
  <c r="I66" i="9"/>
  <c r="I54" i="9"/>
  <c r="I50" i="9"/>
  <c r="I10" i="9"/>
  <c r="I46" i="9"/>
  <c r="Q46" i="9" s="1"/>
  <c r="I70" i="9"/>
  <c r="I72" i="9"/>
  <c r="R72" i="9" s="1"/>
  <c r="I74" i="9"/>
  <c r="T74" i="9" s="1"/>
  <c r="I48" i="9"/>
  <c r="I78" i="9"/>
  <c r="I90" i="9"/>
  <c r="T90" i="9" s="1"/>
  <c r="I34" i="9"/>
  <c r="X34" i="9" s="1"/>
  <c r="I36" i="9"/>
  <c r="I38" i="9"/>
  <c r="I40" i="9"/>
  <c r="I68" i="9"/>
  <c r="I86" i="9"/>
  <c r="I8" i="9"/>
  <c r="T8" i="9" s="1"/>
  <c r="I52" i="9"/>
  <c r="V52" i="9" s="1"/>
  <c r="I56" i="9"/>
  <c r="I58" i="9"/>
  <c r="P58" i="9" s="1"/>
  <c r="I80" i="9"/>
  <c r="I12" i="9"/>
  <c r="I6" i="9"/>
  <c r="I82" i="9"/>
  <c r="R82" i="9" s="1"/>
  <c r="I14" i="9"/>
  <c r="I16" i="9"/>
  <c r="I84" i="9"/>
  <c r="I2" i="9"/>
  <c r="I60" i="9"/>
  <c r="I18" i="9"/>
  <c r="I20" i="9"/>
  <c r="T20" i="9" s="1"/>
  <c r="I22" i="9"/>
  <c r="I64" i="9"/>
  <c r="AA64" i="9" s="1"/>
  <c r="I42" i="9"/>
  <c r="I8" i="1"/>
  <c r="I20" i="1"/>
  <c r="N34" i="9"/>
  <c r="V34" i="9"/>
  <c r="O34" i="9"/>
  <c r="W34" i="9"/>
  <c r="P34" i="9"/>
  <c r="M34" i="9"/>
  <c r="M94" i="9" s="1"/>
  <c r="R34" i="9"/>
  <c r="S34" i="9"/>
  <c r="T34" i="9"/>
  <c r="U34" i="9"/>
  <c r="Q90" i="9"/>
  <c r="W52" i="9"/>
  <c r="Q52" i="9"/>
  <c r="O52" i="9"/>
  <c r="N2" i="9"/>
  <c r="G136" i="1"/>
  <c r="H136" i="1"/>
  <c r="I136" i="1"/>
  <c r="J136" i="1"/>
  <c r="F136" i="1"/>
  <c r="D136" i="1"/>
  <c r="E136" i="1"/>
  <c r="Q79" i="1"/>
  <c r="Q80" i="1"/>
  <c r="Q81" i="1"/>
  <c r="Q82" i="1"/>
  <c r="Q83" i="1"/>
  <c r="Q84" i="1"/>
  <c r="Q85" i="1"/>
  <c r="Q86" i="1"/>
  <c r="Q87" i="1"/>
  <c r="Q89" i="1"/>
  <c r="Q90" i="1"/>
  <c r="Q91" i="1"/>
  <c r="Q92" i="1"/>
  <c r="Q93" i="1"/>
  <c r="Q94" i="1"/>
  <c r="Q95" i="1"/>
  <c r="Q97" i="1"/>
  <c r="Q98" i="1"/>
  <c r="Q99" i="1"/>
  <c r="Q100" i="1"/>
  <c r="Q101" i="1"/>
  <c r="Q102" i="1"/>
  <c r="Q103" i="1"/>
  <c r="Q104" i="1"/>
  <c r="Q105" i="1"/>
  <c r="Q106" i="1"/>
  <c r="Q108" i="1"/>
  <c r="Q109" i="1"/>
  <c r="Q110" i="1"/>
  <c r="Q111" i="1"/>
  <c r="Q112" i="1"/>
  <c r="Q113" i="1"/>
  <c r="Q114" i="1"/>
  <c r="Q115" i="1"/>
  <c r="Q116" i="1"/>
  <c r="Q117" i="1"/>
  <c r="Q118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7" i="1"/>
  <c r="Q138" i="1"/>
  <c r="Q139" i="1"/>
  <c r="Q141" i="1"/>
  <c r="Q143" i="1"/>
  <c r="Q144" i="1"/>
  <c r="Q146" i="1"/>
  <c r="Q147" i="1"/>
  <c r="Q148" i="1"/>
  <c r="Q78" i="1"/>
  <c r="I22" i="8"/>
  <c r="I18" i="8"/>
  <c r="I4" i="8"/>
  <c r="I2" i="8"/>
  <c r="H8" i="1"/>
  <c r="H20" i="1"/>
  <c r="H14" i="1"/>
  <c r="I40" i="8"/>
  <c r="I34" i="8"/>
  <c r="I32" i="8"/>
  <c r="I28" i="8"/>
  <c r="I26" i="8"/>
  <c r="I10" i="8"/>
  <c r="I52" i="8"/>
  <c r="I44" i="8"/>
  <c r="I42" i="8"/>
  <c r="I38" i="8"/>
  <c r="I36" i="8"/>
  <c r="I30" i="8"/>
  <c r="I24" i="8"/>
  <c r="I16" i="8"/>
  <c r="I14" i="8"/>
  <c r="I12" i="8"/>
  <c r="Q136" i="1"/>
  <c r="T28" i="8"/>
  <c r="Q28" i="8"/>
  <c r="P28" i="8"/>
  <c r="O26" i="8"/>
  <c r="R26" i="8"/>
  <c r="R24" i="8"/>
  <c r="Q24" i="8"/>
  <c r="P24" i="8"/>
  <c r="O24" i="8"/>
  <c r="N24" i="8"/>
  <c r="I20" i="8"/>
  <c r="I8" i="8"/>
  <c r="T7" i="8"/>
  <c r="S7" i="8"/>
  <c r="R7" i="8"/>
  <c r="O7" i="8"/>
  <c r="I6" i="8"/>
  <c r="Q69" i="8"/>
  <c r="N69" i="8"/>
  <c r="R65" i="8"/>
  <c r="S65" i="8"/>
  <c r="T65" i="8"/>
  <c r="T64" i="8"/>
  <c r="S64" i="8"/>
  <c r="R64" i="8"/>
  <c r="I64" i="8"/>
  <c r="T63" i="8"/>
  <c r="S63" i="8"/>
  <c r="R63" i="8"/>
  <c r="P63" i="8"/>
  <c r="P69" i="8"/>
  <c r="O63" i="8"/>
  <c r="I62" i="8"/>
  <c r="R62" i="8"/>
  <c r="S61" i="8"/>
  <c r="R61" i="8"/>
  <c r="O61" i="8"/>
  <c r="I60" i="8"/>
  <c r="R60" i="8"/>
  <c r="I56" i="8"/>
  <c r="R84" i="8"/>
  <c r="Q84" i="8"/>
  <c r="P84" i="8"/>
  <c r="O84" i="8"/>
  <c r="I83" i="8"/>
  <c r="N83" i="8"/>
  <c r="W82" i="8"/>
  <c r="U82" i="8"/>
  <c r="T82" i="8"/>
  <c r="S82" i="8"/>
  <c r="R82" i="8"/>
  <c r="Q82" i="8"/>
  <c r="O82" i="8"/>
  <c r="I81" i="8"/>
  <c r="P81" i="8"/>
  <c r="T80" i="8"/>
  <c r="S80" i="8"/>
  <c r="R80" i="8"/>
  <c r="O80" i="8"/>
  <c r="N80" i="8"/>
  <c r="I79" i="8"/>
  <c r="T79" i="8"/>
  <c r="S51" i="8"/>
  <c r="R51" i="8"/>
  <c r="Q51" i="8"/>
  <c r="N51" i="8"/>
  <c r="S50" i="8"/>
  <c r="P50" i="8"/>
  <c r="O50" i="8"/>
  <c r="I50" i="8"/>
  <c r="I48" i="8"/>
  <c r="I46" i="8"/>
  <c r="S78" i="8"/>
  <c r="R78" i="8"/>
  <c r="Q78" i="8"/>
  <c r="O78" i="8"/>
  <c r="I77" i="8"/>
  <c r="Q77" i="8"/>
  <c r="H10" i="7"/>
  <c r="J102" i="7"/>
  <c r="I58" i="8"/>
  <c r="T6" i="8"/>
  <c r="J57" i="8"/>
  <c r="S6" i="8"/>
  <c r="P6" i="8"/>
  <c r="R6" i="8"/>
  <c r="N6" i="8"/>
  <c r="O6" i="8"/>
  <c r="O69" i="8"/>
  <c r="R69" i="8"/>
  <c r="T69" i="8"/>
  <c r="S69" i="8"/>
  <c r="N57" i="8"/>
  <c r="N73" i="8"/>
  <c r="P57" i="8"/>
  <c r="P73" i="8"/>
  <c r="O79" i="8"/>
  <c r="Q57" i="8"/>
  <c r="Q73" i="8"/>
  <c r="S79" i="8"/>
  <c r="S66" i="8"/>
  <c r="R57" i="8"/>
  <c r="O57" i="8"/>
  <c r="V81" i="8"/>
  <c r="T57" i="8"/>
  <c r="S57" i="8"/>
  <c r="Q83" i="8"/>
  <c r="P83" i="8"/>
  <c r="P66" i="8"/>
  <c r="O83" i="8"/>
  <c r="R83" i="8"/>
  <c r="R66" i="8"/>
  <c r="R68" i="8"/>
  <c r="R77" i="8"/>
  <c r="Q81" i="8"/>
  <c r="S60" i="8"/>
  <c r="S68" i="8"/>
  <c r="S77" i="8"/>
  <c r="T81" i="8"/>
  <c r="T66" i="8"/>
  <c r="O77" i="8"/>
  <c r="N81" i="8"/>
  <c r="N66" i="8"/>
  <c r="T62" i="8"/>
  <c r="T68" i="8"/>
  <c r="U81" i="8"/>
  <c r="P62" i="8"/>
  <c r="P68" i="8"/>
  <c r="O81" i="8"/>
  <c r="N77" i="8"/>
  <c r="N60" i="8"/>
  <c r="N68" i="8"/>
  <c r="P77" i="8"/>
  <c r="O60" i="8"/>
  <c r="O68" i="8"/>
  <c r="Q62" i="8"/>
  <c r="Q68" i="8"/>
  <c r="P73" i="7"/>
  <c r="W43" i="7"/>
  <c r="U43" i="7"/>
  <c r="T43" i="7"/>
  <c r="S43" i="7"/>
  <c r="R43" i="7"/>
  <c r="Q43" i="7"/>
  <c r="O43" i="7"/>
  <c r="T33" i="7"/>
  <c r="S33" i="7"/>
  <c r="R33" i="7"/>
  <c r="O33" i="7"/>
  <c r="N33" i="7"/>
  <c r="R7" i="7"/>
  <c r="Q7" i="7"/>
  <c r="P7" i="7"/>
  <c r="N114" i="7"/>
  <c r="Q114" i="7"/>
  <c r="S5" i="7"/>
  <c r="R5" i="7"/>
  <c r="Q5" i="7"/>
  <c r="O5" i="7"/>
  <c r="S106" i="7"/>
  <c r="R106" i="7"/>
  <c r="T19" i="7"/>
  <c r="S19" i="7"/>
  <c r="R19" i="7"/>
  <c r="O19" i="7"/>
  <c r="O66" i="8"/>
  <c r="Q66" i="8"/>
  <c r="O73" i="8"/>
  <c r="U69" i="8"/>
  <c r="R73" i="8"/>
  <c r="S73" i="8"/>
  <c r="T73" i="8"/>
  <c r="U68" i="8"/>
  <c r="O56" i="8"/>
  <c r="O72" i="8"/>
  <c r="N56" i="8"/>
  <c r="N72" i="8"/>
  <c r="T56" i="8"/>
  <c r="T72" i="8"/>
  <c r="U57" i="8"/>
  <c r="S56" i="8"/>
  <c r="S72" i="8"/>
  <c r="P56" i="8"/>
  <c r="P72" i="8"/>
  <c r="W73" i="8"/>
  <c r="U73" i="8"/>
  <c r="Q56" i="8"/>
  <c r="Q72" i="8"/>
  <c r="R56" i="8"/>
  <c r="R72" i="8"/>
  <c r="I96" i="7"/>
  <c r="I94" i="7"/>
  <c r="I78" i="7"/>
  <c r="O78" i="7"/>
  <c r="R78" i="7"/>
  <c r="I60" i="7"/>
  <c r="I58" i="7"/>
  <c r="I54" i="7"/>
  <c r="I48" i="7"/>
  <c r="I28" i="7"/>
  <c r="I24" i="7"/>
  <c r="I10" i="7"/>
  <c r="R45" i="7"/>
  <c r="Q45" i="7"/>
  <c r="P45" i="7"/>
  <c r="O45" i="7"/>
  <c r="S21" i="7"/>
  <c r="R21" i="7"/>
  <c r="Q21" i="7"/>
  <c r="N21" i="7"/>
  <c r="N102" i="7"/>
  <c r="N118" i="7"/>
  <c r="S20" i="7"/>
  <c r="P20" i="7"/>
  <c r="O20" i="7"/>
  <c r="T9" i="7"/>
  <c r="T102" i="7"/>
  <c r="P9" i="7"/>
  <c r="W72" i="8"/>
  <c r="W74" i="8"/>
  <c r="U72" i="8"/>
  <c r="U74" i="8"/>
  <c r="U56" i="8"/>
  <c r="R102" i="7"/>
  <c r="Q102" i="7"/>
  <c r="Q118" i="7"/>
  <c r="P102" i="7"/>
  <c r="S102" i="7"/>
  <c r="O102" i="7"/>
  <c r="U102" i="7"/>
  <c r="I98" i="7"/>
  <c r="I14" i="7"/>
  <c r="I16" i="7"/>
  <c r="I50" i="7"/>
  <c r="I38" i="7"/>
  <c r="I52" i="7"/>
  <c r="I40" i="7"/>
  <c r="I12" i="7"/>
  <c r="I44" i="7"/>
  <c r="N44" i="7"/>
  <c r="I20" i="7"/>
  <c r="I42" i="7"/>
  <c r="I56" i="7"/>
  <c r="I62" i="7"/>
  <c r="I64" i="7"/>
  <c r="I66" i="7"/>
  <c r="I68" i="7"/>
  <c r="I70" i="7"/>
  <c r="I72" i="7"/>
  <c r="I46" i="7"/>
  <c r="I22" i="7"/>
  <c r="I26" i="7"/>
  <c r="I74" i="7"/>
  <c r="I2" i="7"/>
  <c r="I4" i="7"/>
  <c r="I76" i="7"/>
  <c r="I32" i="7"/>
  <c r="I34" i="7"/>
  <c r="I6" i="7"/>
  <c r="I36" i="7"/>
  <c r="I82" i="7"/>
  <c r="I84" i="7"/>
  <c r="I8" i="7"/>
  <c r="I88" i="7"/>
  <c r="I90" i="7"/>
  <c r="I18" i="7"/>
  <c r="R110" i="7"/>
  <c r="T109" i="7"/>
  <c r="S109" i="7"/>
  <c r="R109" i="7"/>
  <c r="I109" i="7"/>
  <c r="T108" i="7"/>
  <c r="S108" i="7"/>
  <c r="R108" i="7"/>
  <c r="P108" i="7"/>
  <c r="P114" i="7"/>
  <c r="P118" i="7"/>
  <c r="O108" i="7"/>
  <c r="I107" i="7"/>
  <c r="Q107" i="7"/>
  <c r="Q113" i="7"/>
  <c r="O106" i="7"/>
  <c r="I105" i="7"/>
  <c r="S105" i="7"/>
  <c r="T80" i="7"/>
  <c r="Q80" i="7"/>
  <c r="P80" i="7"/>
  <c r="F119" i="1"/>
  <c r="I6" i="6"/>
  <c r="N6" i="6"/>
  <c r="P6" i="6"/>
  <c r="R149" i="6"/>
  <c r="S149" i="6"/>
  <c r="T149" i="6"/>
  <c r="R148" i="6"/>
  <c r="T148" i="6"/>
  <c r="S148" i="6"/>
  <c r="I148" i="6"/>
  <c r="T45" i="6"/>
  <c r="S45" i="6"/>
  <c r="S150" i="6"/>
  <c r="S153" i="6"/>
  <c r="R45" i="6"/>
  <c r="O45" i="6"/>
  <c r="T44" i="6"/>
  <c r="Q44" i="6"/>
  <c r="P44" i="6"/>
  <c r="P29" i="6"/>
  <c r="T29" i="6"/>
  <c r="N150" i="6"/>
  <c r="N153" i="6"/>
  <c r="U143" i="6"/>
  <c r="T143" i="6"/>
  <c r="P143" i="6"/>
  <c r="O143" i="6"/>
  <c r="I142" i="6"/>
  <c r="U141" i="6"/>
  <c r="T141" i="6"/>
  <c r="Q141" i="6"/>
  <c r="I140" i="6"/>
  <c r="N20" i="6"/>
  <c r="R20" i="6"/>
  <c r="P13" i="6"/>
  <c r="O13" i="6"/>
  <c r="S152" i="6"/>
  <c r="T147" i="6"/>
  <c r="S147" i="6"/>
  <c r="R147" i="6"/>
  <c r="P147" i="6"/>
  <c r="O147" i="6"/>
  <c r="I146" i="6"/>
  <c r="R146" i="6"/>
  <c r="T55" i="6"/>
  <c r="Q55" i="6"/>
  <c r="P55" i="6"/>
  <c r="Q54" i="6"/>
  <c r="G107" i="1"/>
  <c r="H107" i="1"/>
  <c r="Q107" i="1"/>
  <c r="I107" i="1"/>
  <c r="J107" i="1"/>
  <c r="J32" i="5"/>
  <c r="K32" i="5"/>
  <c r="D107" i="1"/>
  <c r="E107" i="1"/>
  <c r="G119" i="1"/>
  <c r="H119" i="1"/>
  <c r="Q119" i="1"/>
  <c r="I119" i="1"/>
  <c r="J119" i="1"/>
  <c r="D119" i="1"/>
  <c r="S145" i="6"/>
  <c r="R145" i="6"/>
  <c r="Q145" i="6"/>
  <c r="O145" i="6"/>
  <c r="I144" i="6"/>
  <c r="R7" i="6"/>
  <c r="Q7" i="6"/>
  <c r="O7" i="6"/>
  <c r="P7" i="6"/>
  <c r="I2" i="6"/>
  <c r="I10" i="6"/>
  <c r="I12" i="6"/>
  <c r="I16" i="6"/>
  <c r="I18" i="6"/>
  <c r="I24" i="6"/>
  <c r="I26" i="6"/>
  <c r="I28" i="6"/>
  <c r="S28" i="6"/>
  <c r="I30" i="6"/>
  <c r="I32" i="6"/>
  <c r="I34" i="6"/>
  <c r="I36" i="6"/>
  <c r="F8" i="1"/>
  <c r="I96" i="6"/>
  <c r="I100" i="6"/>
  <c r="I102" i="6"/>
  <c r="I104" i="6"/>
  <c r="I106" i="6"/>
  <c r="I110" i="6"/>
  <c r="I112" i="6"/>
  <c r="I118" i="6"/>
  <c r="I120" i="6"/>
  <c r="I124" i="6"/>
  <c r="I126" i="6"/>
  <c r="I130" i="6"/>
  <c r="I98" i="6"/>
  <c r="I38" i="6"/>
  <c r="I42" i="6"/>
  <c r="I50" i="6"/>
  <c r="I52" i="6"/>
  <c r="I58" i="6"/>
  <c r="I60" i="6"/>
  <c r="I64" i="6"/>
  <c r="I66" i="6"/>
  <c r="I68" i="6"/>
  <c r="I76" i="6"/>
  <c r="I88" i="6"/>
  <c r="I90" i="6"/>
  <c r="I94" i="6"/>
  <c r="J30" i="5"/>
  <c r="F96" i="1"/>
  <c r="J31" i="3"/>
  <c r="K31" i="3" s="1"/>
  <c r="I36" i="5"/>
  <c r="I2" i="5"/>
  <c r="I4" i="5"/>
  <c r="I5" i="5"/>
  <c r="I6" i="5"/>
  <c r="I7" i="5"/>
  <c r="I8" i="5"/>
  <c r="I10" i="5"/>
  <c r="I12" i="5"/>
  <c r="I14" i="5"/>
  <c r="I15" i="5"/>
  <c r="I17" i="5"/>
  <c r="I19" i="5"/>
  <c r="I21" i="5"/>
  <c r="I23" i="5"/>
  <c r="I25" i="5"/>
  <c r="I27" i="5"/>
  <c r="I32" i="5"/>
  <c r="P47" i="5"/>
  <c r="Q47" i="5"/>
  <c r="R47" i="5"/>
  <c r="O47" i="5"/>
  <c r="I46" i="5"/>
  <c r="O46" i="5"/>
  <c r="P46" i="5"/>
  <c r="Q46" i="5"/>
  <c r="R46" i="5"/>
  <c r="U47" i="5"/>
  <c r="T47" i="5"/>
  <c r="P43" i="5"/>
  <c r="Q43" i="5"/>
  <c r="I42" i="5"/>
  <c r="U45" i="5"/>
  <c r="T45" i="5"/>
  <c r="Q45" i="5"/>
  <c r="I44" i="5"/>
  <c r="P44" i="5"/>
  <c r="C20" i="1"/>
  <c r="C19" i="1"/>
  <c r="D20" i="1"/>
  <c r="C14" i="1"/>
  <c r="C13" i="1"/>
  <c r="F14" i="1"/>
  <c r="C8" i="1"/>
  <c r="C7" i="1"/>
  <c r="D8" i="1"/>
  <c r="G88" i="1"/>
  <c r="G96" i="1"/>
  <c r="H88" i="1"/>
  <c r="H96" i="1"/>
  <c r="I88" i="1"/>
  <c r="I96" i="1"/>
  <c r="J88" i="1"/>
  <c r="J96" i="1"/>
  <c r="F88" i="1"/>
  <c r="F153" i="1" s="1"/>
  <c r="F156" i="1" s="1"/>
  <c r="D88" i="1"/>
  <c r="D96" i="1"/>
  <c r="O13" i="5"/>
  <c r="O20" i="5"/>
  <c r="O26" i="5"/>
  <c r="O28" i="5"/>
  <c r="O31" i="5"/>
  <c r="P11" i="5"/>
  <c r="P28" i="5"/>
  <c r="P31" i="5"/>
  <c r="Q3" i="5"/>
  <c r="Q18" i="5"/>
  <c r="Q20" i="5"/>
  <c r="Q31" i="5"/>
  <c r="R3" i="5"/>
  <c r="R13" i="5"/>
  <c r="R18" i="5"/>
  <c r="R28" i="5"/>
  <c r="R31" i="5"/>
  <c r="S3" i="5"/>
  <c r="S13" i="5"/>
  <c r="S28" i="5"/>
  <c r="S31" i="5"/>
  <c r="T3" i="5"/>
  <c r="T13" i="5"/>
  <c r="T28" i="5"/>
  <c r="T31" i="5"/>
  <c r="U13" i="5"/>
  <c r="U31" i="5"/>
  <c r="N31" i="5"/>
  <c r="Q17" i="5"/>
  <c r="N17" i="5"/>
  <c r="O17" i="5"/>
  <c r="P17" i="5"/>
  <c r="U27" i="5"/>
  <c r="T27" i="5"/>
  <c r="S27" i="5"/>
  <c r="P27" i="5"/>
  <c r="O27" i="5"/>
  <c r="N27" i="5"/>
  <c r="N10" i="5"/>
  <c r="O19" i="5"/>
  <c r="R19" i="5"/>
  <c r="Q19" i="5"/>
  <c r="P19" i="5"/>
  <c r="N19" i="5"/>
  <c r="O25" i="5"/>
  <c r="O2" i="5"/>
  <c r="O12" i="5"/>
  <c r="N15" i="5"/>
  <c r="O15" i="5"/>
  <c r="O30" i="5"/>
  <c r="P15" i="5"/>
  <c r="P30" i="5"/>
  <c r="Q12" i="5"/>
  <c r="Q15" i="5"/>
  <c r="Q30" i="5"/>
  <c r="R2" i="5"/>
  <c r="R12" i="5"/>
  <c r="R15" i="5"/>
  <c r="R30" i="5"/>
  <c r="S2" i="5"/>
  <c r="N8" i="5"/>
  <c r="S8" i="5"/>
  <c r="S12" i="5"/>
  <c r="S30" i="5"/>
  <c r="T12" i="5"/>
  <c r="T30" i="5"/>
  <c r="U12" i="5"/>
  <c r="U30" i="5"/>
  <c r="N2" i="5"/>
  <c r="N12" i="5"/>
  <c r="N30" i="5"/>
  <c r="I2" i="3"/>
  <c r="I3" i="3"/>
  <c r="I4" i="3"/>
  <c r="I5" i="3"/>
  <c r="I6" i="3"/>
  <c r="I7" i="3"/>
  <c r="I8" i="3"/>
  <c r="I9" i="3"/>
  <c r="I10" i="3"/>
  <c r="I11" i="3"/>
  <c r="I31" i="3"/>
  <c r="E46" i="4"/>
  <c r="I46" i="4"/>
  <c r="I5" i="4"/>
  <c r="L5" i="4"/>
  <c r="I6" i="4"/>
  <c r="I16" i="4"/>
  <c r="I7" i="4"/>
  <c r="I3" i="4"/>
  <c r="I45" i="4"/>
  <c r="I38" i="4"/>
  <c r="I2" i="4"/>
  <c r="I8" i="4"/>
  <c r="I10" i="4"/>
  <c r="I11" i="4"/>
  <c r="I12" i="4"/>
  <c r="I13" i="4"/>
  <c r="I14" i="4"/>
  <c r="I15" i="4"/>
  <c r="I17" i="4"/>
  <c r="I39" i="4"/>
  <c r="I18" i="4"/>
  <c r="I19" i="4"/>
  <c r="I20" i="4"/>
  <c r="I21" i="4"/>
  <c r="I22" i="4"/>
  <c r="I23" i="4"/>
  <c r="I25" i="4"/>
  <c r="I26" i="4"/>
  <c r="I27" i="4"/>
  <c r="I29" i="4"/>
  <c r="I30" i="4"/>
  <c r="I31" i="4"/>
  <c r="I32" i="4"/>
  <c r="I33" i="4"/>
  <c r="I34" i="4"/>
  <c r="I35" i="4"/>
  <c r="I36" i="4"/>
  <c r="I40" i="4"/>
  <c r="I41" i="4"/>
  <c r="T37" i="4"/>
  <c r="S37" i="4"/>
  <c r="R37" i="4"/>
  <c r="Q37" i="4"/>
  <c r="P37" i="4"/>
  <c r="O37" i="4"/>
  <c r="N37" i="4"/>
  <c r="M37" i="4"/>
  <c r="L37" i="4"/>
  <c r="K37" i="4"/>
  <c r="N29" i="3"/>
  <c r="O29" i="3"/>
  <c r="P29" i="3"/>
  <c r="Q29" i="3"/>
  <c r="R29" i="3"/>
  <c r="S29" i="3"/>
  <c r="T29" i="3"/>
  <c r="U29" i="3"/>
  <c r="V29" i="3"/>
  <c r="M29" i="3"/>
  <c r="I22" i="3"/>
  <c r="I24" i="3"/>
  <c r="I25" i="3"/>
  <c r="I26" i="3"/>
  <c r="I27" i="3"/>
  <c r="I28" i="3"/>
  <c r="I30" i="3"/>
  <c r="I23" i="3"/>
  <c r="I21" i="3"/>
  <c r="I20" i="3"/>
  <c r="I19" i="3"/>
  <c r="I18" i="3"/>
  <c r="I12" i="3"/>
  <c r="I17" i="3"/>
  <c r="I16" i="3"/>
  <c r="I15" i="3"/>
  <c r="I14" i="3"/>
  <c r="I13" i="3"/>
  <c r="I25" i="2"/>
  <c r="I20" i="2"/>
  <c r="I19" i="2"/>
  <c r="I18" i="2"/>
  <c r="I17" i="2"/>
  <c r="I16" i="2"/>
  <c r="I15" i="2"/>
  <c r="I14" i="2"/>
  <c r="I13" i="2"/>
  <c r="I12" i="2"/>
  <c r="I24" i="2"/>
  <c r="I11" i="2"/>
  <c r="I10" i="2"/>
  <c r="I9" i="2"/>
  <c r="I8" i="2"/>
  <c r="I7" i="2"/>
  <c r="I6" i="2"/>
  <c r="I5" i="2"/>
  <c r="I4" i="2"/>
  <c r="I23" i="2"/>
  <c r="I3" i="2"/>
  <c r="I2" i="2"/>
  <c r="I22" i="2"/>
  <c r="I32" i="3"/>
  <c r="D51" i="1"/>
  <c r="F51" i="1"/>
  <c r="G51" i="1"/>
  <c r="H51" i="1"/>
  <c r="I51" i="1"/>
  <c r="J51" i="1"/>
  <c r="K51" i="1"/>
  <c r="L51" i="1"/>
  <c r="M51" i="1"/>
  <c r="N51" i="1"/>
  <c r="O51" i="1"/>
  <c r="J52" i="1"/>
  <c r="K52" i="1"/>
  <c r="L52" i="1"/>
  <c r="M52" i="1"/>
  <c r="N52" i="1"/>
  <c r="O52" i="1"/>
  <c r="H53" i="1"/>
  <c r="I53" i="1"/>
  <c r="J53" i="1"/>
  <c r="K53" i="1"/>
  <c r="L53" i="1"/>
  <c r="M53" i="1"/>
  <c r="N53" i="1"/>
  <c r="O53" i="1"/>
  <c r="C51" i="1"/>
  <c r="C50" i="1"/>
  <c r="D29" i="1"/>
  <c r="F29" i="1"/>
  <c r="G29" i="1"/>
  <c r="D23" i="1"/>
  <c r="F23" i="1"/>
  <c r="G23" i="1"/>
  <c r="H23" i="1"/>
  <c r="I23" i="1"/>
  <c r="J23" i="1"/>
  <c r="K23" i="1"/>
  <c r="L23" i="1"/>
  <c r="M23" i="1"/>
  <c r="N23" i="1"/>
  <c r="O23" i="1"/>
  <c r="P23" i="1"/>
  <c r="D17" i="1"/>
  <c r="F17" i="1"/>
  <c r="G17" i="1"/>
  <c r="H17" i="1"/>
  <c r="I17" i="1"/>
  <c r="J17" i="1"/>
  <c r="K17" i="1"/>
  <c r="L17" i="1"/>
  <c r="M17" i="1"/>
  <c r="N17" i="1"/>
  <c r="O17" i="1"/>
  <c r="P17" i="1"/>
  <c r="D11" i="1"/>
  <c r="F11" i="1"/>
  <c r="G11" i="1"/>
  <c r="H11" i="1"/>
  <c r="I11" i="1"/>
  <c r="J11" i="1"/>
  <c r="K11" i="1"/>
  <c r="L11" i="1"/>
  <c r="M11" i="1"/>
  <c r="N11" i="1"/>
  <c r="O11" i="1"/>
  <c r="P11" i="1"/>
  <c r="P30" i="1"/>
  <c r="P24" i="1"/>
  <c r="P18" i="1"/>
  <c r="P12" i="1"/>
  <c r="P6" i="1"/>
  <c r="D5" i="1"/>
  <c r="F5" i="1"/>
  <c r="I33" i="3"/>
  <c r="U44" i="5"/>
  <c r="T44" i="5"/>
  <c r="Q44" i="5"/>
  <c r="U42" i="5"/>
  <c r="R42" i="5"/>
  <c r="O42" i="5"/>
  <c r="Q96" i="1"/>
  <c r="Q88" i="1"/>
  <c r="H29" i="1"/>
  <c r="I29" i="1"/>
  <c r="J29" i="1"/>
  <c r="K29" i="1"/>
  <c r="L29" i="1"/>
  <c r="M29" i="1"/>
  <c r="N29" i="1"/>
  <c r="O29" i="1"/>
  <c r="P29" i="1"/>
  <c r="J56" i="8"/>
  <c r="K56" i="8" s="1"/>
  <c r="G8" i="1"/>
  <c r="G53" i="1"/>
  <c r="I102" i="7"/>
  <c r="O72" i="7"/>
  <c r="N72" i="7"/>
  <c r="O6" i="7"/>
  <c r="P6" i="7"/>
  <c r="Q6" i="7"/>
  <c r="N6" i="7"/>
  <c r="T32" i="7"/>
  <c r="S32" i="7"/>
  <c r="O32" i="7"/>
  <c r="T42" i="7"/>
  <c r="Q42" i="7"/>
  <c r="P42" i="7"/>
  <c r="N42" i="7"/>
  <c r="V42" i="7"/>
  <c r="U42" i="7"/>
  <c r="O42" i="7"/>
  <c r="S113" i="7"/>
  <c r="O114" i="7"/>
  <c r="O118" i="7"/>
  <c r="S114" i="7"/>
  <c r="S118" i="7"/>
  <c r="R114" i="7"/>
  <c r="R118" i="7"/>
  <c r="O4" i="7"/>
  <c r="N4" i="7"/>
  <c r="S4" i="7"/>
  <c r="R4" i="7"/>
  <c r="P4" i="7"/>
  <c r="Q4" i="7"/>
  <c r="P18" i="7"/>
  <c r="O18" i="7"/>
  <c r="N18" i="7"/>
  <c r="T18" i="7"/>
  <c r="S18" i="7"/>
  <c r="R18" i="7"/>
  <c r="R8" i="7"/>
  <c r="P8" i="7"/>
  <c r="N8" i="7"/>
  <c r="T8" i="7"/>
  <c r="S8" i="7"/>
  <c r="P44" i="7"/>
  <c r="R44" i="7"/>
  <c r="O44" i="7"/>
  <c r="Q44" i="7"/>
  <c r="I135" i="6"/>
  <c r="J101" i="7"/>
  <c r="K101" i="7" s="1"/>
  <c r="I103" i="7"/>
  <c r="T107" i="7"/>
  <c r="T113" i="7"/>
  <c r="K102" i="7"/>
  <c r="R107" i="7"/>
  <c r="S110" i="7"/>
  <c r="N10" i="7"/>
  <c r="R10" i="7"/>
  <c r="P107" i="7"/>
  <c r="P113" i="7"/>
  <c r="N105" i="7"/>
  <c r="N113" i="7"/>
  <c r="O105" i="7"/>
  <c r="O113" i="7"/>
  <c r="R105" i="7"/>
  <c r="D7" i="1"/>
  <c r="F53" i="1"/>
  <c r="I134" i="6"/>
  <c r="R6" i="6"/>
  <c r="I133" i="6"/>
  <c r="O6" i="6"/>
  <c r="N28" i="6"/>
  <c r="Q6" i="6"/>
  <c r="T28" i="6"/>
  <c r="P28" i="6"/>
  <c r="R28" i="6"/>
  <c r="D50" i="1"/>
  <c r="D53" i="1"/>
  <c r="D19" i="1"/>
  <c r="F19" i="1"/>
  <c r="G19" i="1"/>
  <c r="H19" i="1"/>
  <c r="I19" i="1"/>
  <c r="C53" i="1"/>
  <c r="G5" i="1"/>
  <c r="F50" i="1"/>
  <c r="D13" i="1"/>
  <c r="F13" i="1"/>
  <c r="G13" i="1"/>
  <c r="H13" i="1"/>
  <c r="I13" i="1"/>
  <c r="C52" i="1"/>
  <c r="O150" i="6"/>
  <c r="O153" i="6"/>
  <c r="T150" i="6"/>
  <c r="T153" i="6"/>
  <c r="Q143" i="6"/>
  <c r="P150" i="6"/>
  <c r="P153" i="6"/>
  <c r="T12" i="6"/>
  <c r="Q12" i="6"/>
  <c r="N12" i="6"/>
  <c r="N152" i="6"/>
  <c r="S144" i="6"/>
  <c r="R144" i="6"/>
  <c r="Q144" i="6"/>
  <c r="P144" i="6"/>
  <c r="O144" i="6"/>
  <c r="N144" i="6"/>
  <c r="T146" i="6"/>
  <c r="Q146" i="6"/>
  <c r="P146" i="6"/>
  <c r="U140" i="6"/>
  <c r="T140" i="6"/>
  <c r="Q140" i="6"/>
  <c r="P140" i="6"/>
  <c r="O142" i="6"/>
  <c r="R113" i="7"/>
  <c r="W118" i="7"/>
  <c r="U118" i="7"/>
  <c r="S101" i="7"/>
  <c r="S117" i="7"/>
  <c r="T101" i="7"/>
  <c r="T117" i="7"/>
  <c r="N101" i="7"/>
  <c r="N117" i="7"/>
  <c r="R101" i="7"/>
  <c r="R117" i="7"/>
  <c r="S111" i="7"/>
  <c r="T111" i="7"/>
  <c r="N111" i="7"/>
  <c r="R111" i="7"/>
  <c r="I136" i="6"/>
  <c r="I101" i="7"/>
  <c r="D52" i="1"/>
  <c r="F7" i="1"/>
  <c r="G7" i="1"/>
  <c r="T110" i="7"/>
  <c r="T114" i="7"/>
  <c r="T118" i="7"/>
  <c r="P10" i="7"/>
  <c r="P111" i="7"/>
  <c r="Q10" i="7"/>
  <c r="Q101" i="7"/>
  <c r="Q117" i="7"/>
  <c r="O10" i="7"/>
  <c r="O101" i="7"/>
  <c r="O117" i="7"/>
  <c r="H5" i="1"/>
  <c r="G50" i="1"/>
  <c r="T152" i="6"/>
  <c r="P142" i="6"/>
  <c r="O152" i="6"/>
  <c r="R143" i="6"/>
  <c r="R150" i="6"/>
  <c r="R153" i="6"/>
  <c r="Q150" i="6"/>
  <c r="Q153" i="6"/>
  <c r="G52" i="1"/>
  <c r="H7" i="1"/>
  <c r="F52" i="1"/>
  <c r="P101" i="7"/>
  <c r="P117" i="7"/>
  <c r="W117" i="7"/>
  <c r="W119" i="7"/>
  <c r="Q111" i="7"/>
  <c r="O111" i="7"/>
  <c r="U153" i="6"/>
  <c r="I5" i="1"/>
  <c r="H50" i="1"/>
  <c r="Q142" i="6"/>
  <c r="P152" i="6"/>
  <c r="H52" i="1"/>
  <c r="I7" i="1"/>
  <c r="I52" i="1"/>
  <c r="U117" i="7"/>
  <c r="U119" i="7"/>
  <c r="U114" i="7"/>
  <c r="U101" i="7"/>
  <c r="U113" i="7"/>
  <c r="J5" i="1"/>
  <c r="I50" i="1"/>
  <c r="R142" i="6"/>
  <c r="R152" i="6"/>
  <c r="Q152" i="6"/>
  <c r="U152" i="6"/>
  <c r="K5" i="1"/>
  <c r="J50" i="1"/>
  <c r="L5" i="1"/>
  <c r="K50" i="1"/>
  <c r="L50" i="1"/>
  <c r="M5" i="1"/>
  <c r="N5" i="1"/>
  <c r="M50" i="1"/>
  <c r="O5" i="1"/>
  <c r="N50" i="1"/>
  <c r="P5" i="1"/>
  <c r="O50" i="1"/>
  <c r="H153" i="1" l="1"/>
  <c r="G153" i="1"/>
  <c r="D153" i="1"/>
  <c r="D156" i="1" s="1"/>
  <c r="J153" i="1"/>
  <c r="I153" i="1"/>
  <c r="E153" i="1"/>
  <c r="I31" i="5"/>
  <c r="I33" i="5" s="1"/>
  <c r="J31" i="5"/>
  <c r="J33" i="5" s="1"/>
  <c r="J36" i="5" s="1"/>
  <c r="K36" i="5" s="1"/>
  <c r="W95" i="9"/>
  <c r="W98" i="9" s="1"/>
  <c r="S8" i="9"/>
  <c r="P74" i="9"/>
  <c r="R46" i="9"/>
  <c r="O72" i="9"/>
  <c r="S64" i="9"/>
  <c r="X95" i="9"/>
  <c r="X98" i="9" s="1"/>
  <c r="O74" i="9"/>
  <c r="R95" i="9"/>
  <c r="R98" i="9" s="1"/>
  <c r="N4" i="9"/>
  <c r="Q74" i="9"/>
  <c r="R74" i="9"/>
  <c r="I95" i="9"/>
  <c r="N20" i="9"/>
  <c r="P72" i="9"/>
  <c r="P82" i="9"/>
  <c r="S95" i="9"/>
  <c r="S98" i="9" s="1"/>
  <c r="O95" i="9"/>
  <c r="O98" i="9" s="1"/>
  <c r="P8" i="9"/>
  <c r="Q72" i="9"/>
  <c r="Q82" i="9"/>
  <c r="Q34" i="9"/>
  <c r="W64" i="9"/>
  <c r="T95" i="9"/>
  <c r="T98" i="9" s="1"/>
  <c r="O8" i="9"/>
  <c r="S72" i="9"/>
  <c r="S82" i="9"/>
  <c r="I94" i="9"/>
  <c r="M97" i="9"/>
  <c r="M98" i="9"/>
  <c r="O2" i="9"/>
  <c r="R8" i="9"/>
  <c r="P52" i="9"/>
  <c r="O58" i="9"/>
  <c r="V46" i="9"/>
  <c r="V94" i="9" s="1"/>
  <c r="V97" i="9" s="1"/>
  <c r="T72" i="9"/>
  <c r="P90" i="9"/>
  <c r="T82" i="9"/>
  <c r="R2" i="9"/>
  <c r="S58" i="9"/>
  <c r="W46" i="9"/>
  <c r="W94" i="9" s="1"/>
  <c r="W97" i="9" s="1"/>
  <c r="S2" i="9"/>
  <c r="R52" i="9"/>
  <c r="Q58" i="9"/>
  <c r="X46" i="9"/>
  <c r="X94" i="9" s="1"/>
  <c r="X97" i="9" s="1"/>
  <c r="R90" i="9"/>
  <c r="N8" i="9"/>
  <c r="R58" i="9"/>
  <c r="Y46" i="9"/>
  <c r="S90" i="9"/>
  <c r="AB64" i="9"/>
  <c r="O64" i="9"/>
  <c r="I96" i="9"/>
  <c r="S20" i="9"/>
  <c r="U52" i="9"/>
  <c r="U94" i="9" s="1"/>
  <c r="U97" i="9" s="1"/>
  <c r="O46" i="9"/>
  <c r="S74" i="9"/>
  <c r="U82" i="9"/>
  <c r="R64" i="9"/>
  <c r="N94" i="9" l="1"/>
  <c r="N97" i="9" s="1"/>
  <c r="P94" i="9"/>
  <c r="P97" i="9" s="1"/>
  <c r="Q94" i="9"/>
  <c r="Q97" i="9" s="1"/>
  <c r="T94" i="9"/>
  <c r="T97" i="9" s="1"/>
  <c r="Y95" i="9"/>
  <c r="Y98" i="9" s="1"/>
  <c r="S94" i="9"/>
  <c r="S97" i="9" s="1"/>
  <c r="R94" i="9"/>
  <c r="R97" i="9" s="1"/>
  <c r="O94" i="9"/>
  <c r="O97" i="9" l="1"/>
  <c r="Y94" i="9"/>
  <c r="Y97" i="9" s="1"/>
  <c r="I57" i="8"/>
  <c r="K5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0" authorId="0" shapeId="0" xr:uid="{0CA88B65-2870-454C-ADA0-264208D2F04D}">
      <text>
        <r>
          <rPr>
            <sz val="10"/>
            <color rgb="FF000000"/>
            <rFont val="Tahoma"/>
            <family val="2"/>
          </rPr>
          <t>OT8399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101" authorId="0" shapeId="0" xr:uid="{1B2C3F5D-3956-014A-B15D-9FDB56A78CA2}">
      <text>
        <r>
          <rPr>
            <sz val="10"/>
            <color rgb="FF000000"/>
            <rFont val="Tahoma"/>
            <family val="2"/>
          </rPr>
          <t>437</t>
        </r>
      </text>
    </comment>
    <comment ref="I102" authorId="0" shapeId="0" xr:uid="{8B594470-C451-B041-8A9B-0B1BC4917837}">
      <text>
        <r>
          <rPr>
            <sz val="10"/>
            <color rgb="FF000000"/>
            <rFont val="Tahoma"/>
            <family val="2"/>
          </rPr>
          <t>832</t>
        </r>
      </text>
    </comment>
    <comment ref="I103" authorId="0" shapeId="0" xr:uid="{4C17E7C8-2654-754C-8E18-E131A339853E}">
      <text>
        <r>
          <rPr>
            <sz val="10"/>
            <color rgb="FF000000"/>
            <rFont val="Tahoma"/>
            <family val="2"/>
          </rPr>
          <t>594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56" authorId="0" shapeId="0" xr:uid="{A7C3DC43-F45E-7743-82D1-755B7D8CDE5F}">
      <text>
        <r>
          <rPr>
            <sz val="10"/>
            <color rgb="FF000000"/>
            <rFont val="Tahoma"/>
            <family val="2"/>
          </rPr>
          <t>437</t>
        </r>
      </text>
    </comment>
    <comment ref="I57" authorId="0" shapeId="0" xr:uid="{56221365-0B67-774F-812B-951A6DD8533E}">
      <text>
        <r>
          <rPr>
            <sz val="10"/>
            <color rgb="FF000000"/>
            <rFont val="Tahoma"/>
            <family val="2"/>
          </rPr>
          <t>832</t>
        </r>
      </text>
    </comment>
    <comment ref="I58" authorId="0" shapeId="0" xr:uid="{50316151-B1FA-0446-902F-1C51DA660338}">
      <text>
        <r>
          <rPr>
            <sz val="10"/>
            <color rgb="FF000000"/>
            <rFont val="Tahoma"/>
            <family val="2"/>
          </rPr>
          <t>492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94" authorId="0" shapeId="0" xr:uid="{56D7E76B-A767-3C44-85A4-0E80E1374856}">
      <text>
        <r>
          <rPr>
            <sz val="10"/>
            <color rgb="FF000000"/>
            <rFont val="Tahoma"/>
            <family val="2"/>
          </rPr>
          <t>564</t>
        </r>
      </text>
    </comment>
    <comment ref="I95" authorId="0" shapeId="0" xr:uid="{E82A7250-482E-CB4E-9D69-5B9344667D96}">
      <text>
        <r>
          <rPr>
            <sz val="10"/>
            <color rgb="FF000000"/>
            <rFont val="Tahoma"/>
            <family val="2"/>
          </rPr>
          <t>690</t>
        </r>
      </text>
    </comment>
    <comment ref="I96" authorId="0" shapeId="0" xr:uid="{23788CDD-A8CB-CF43-8611-41ADDE57527A}">
      <text>
        <r>
          <rPr>
            <sz val="10"/>
            <color rgb="FF000000"/>
            <rFont val="Tahoma"/>
            <family val="2"/>
          </rPr>
          <t>160</t>
        </r>
      </text>
    </comment>
  </commentList>
</comments>
</file>

<file path=xl/sharedStrings.xml><?xml version="1.0" encoding="utf-8"?>
<sst xmlns="http://schemas.openxmlformats.org/spreadsheetml/2006/main" count="2210" uniqueCount="527">
  <si>
    <t>METAS VENTAS Y OCS 2026 MCLP</t>
  </si>
  <si>
    <t>Fecha actualización</t>
  </si>
  <si>
    <t>Normativo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</si>
  <si>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</si>
  <si>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</si>
  <si>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</si>
  <si>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</si>
  <si>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</si>
  <si>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</si>
  <si>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</si>
  <si>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</si>
  <si>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</si>
  <si>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</si>
  <si>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</si>
  <si>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</si>
  <si>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</si>
  <si>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Meta acumulada</t>
  </si>
  <si>
    <t>Proyección anual</t>
  </si>
  <si>
    <t>OCs acumuladas</t>
  </si>
  <si>
    <t>OCs mensual</t>
  </si>
  <si>
    <t>SCADAS Y SAC</t>
  </si>
  <si>
    <t>PAC</t>
  </si>
  <si>
    <t>PROCESOS (SISTEMAS Y SOLUCIONES)</t>
  </si>
  <si>
    <t>PROCESOS (ÁREA DE EQUIPOS)</t>
  </si>
  <si>
    <t>TOTAL</t>
  </si>
  <si>
    <t>Traspasos realizados:</t>
  </si>
  <si>
    <t>Cliente</t>
  </si>
  <si>
    <t>OT</t>
  </si>
  <si>
    <t>VENTA EN UF</t>
  </si>
  <si>
    <t>VENTA EN M$</t>
  </si>
  <si>
    <t>Costo Bruto M$</t>
  </si>
  <si>
    <t>MB M$</t>
  </si>
  <si>
    <t>Costo Neto M$</t>
  </si>
  <si>
    <t>MN M$</t>
  </si>
  <si>
    <t>Línea</t>
  </si>
  <si>
    <t>Descripcion</t>
  </si>
  <si>
    <t>Transelec</t>
  </si>
  <si>
    <t>5153-03</t>
  </si>
  <si>
    <t>Integracion señales Quillota y Itahue</t>
  </si>
  <si>
    <t>Grenergy</t>
  </si>
  <si>
    <t>5215-00</t>
  </si>
  <si>
    <t>Suministro Unidades de Medicion Sincrofasorial</t>
  </si>
  <si>
    <t>Agrosonda</t>
  </si>
  <si>
    <t>5216-00</t>
  </si>
  <si>
    <t xml:space="preserve">Suministro e implementacion PMU y PDC PFV Planchón </t>
  </si>
  <si>
    <t>Arauco</t>
  </si>
  <si>
    <t>5217-00</t>
  </si>
  <si>
    <t>Implementación de la PMU TG1 y  TG3 PCNA (Nueva Aldea)</t>
  </si>
  <si>
    <t>Sigma</t>
  </si>
  <si>
    <t>8375-01</t>
  </si>
  <si>
    <t>Levantamiento y Diagnostico de RTU ABB 560 en instalaciones de ENAEX</t>
  </si>
  <si>
    <t>Colbun</t>
  </si>
  <si>
    <t>8387-00</t>
  </si>
  <si>
    <t>SCADA-SAC</t>
  </si>
  <si>
    <t>Integración PE Totoral a CCR</t>
  </si>
  <si>
    <t>Electrica Puntilla</t>
  </si>
  <si>
    <t>8388-00</t>
  </si>
  <si>
    <t xml:space="preserve">Ingenieria basica y detalle para la electrica puntilla </t>
  </si>
  <si>
    <t>8389-00</t>
  </si>
  <si>
    <t xml:space="preserve">Ingenieria basica y detalle para la electrica Itata </t>
  </si>
  <si>
    <t>Soc Canal de Maipo</t>
  </si>
  <si>
    <t>8390-00</t>
  </si>
  <si>
    <t xml:space="preserve">Ingenieria basica y detalle para la Central Florida II </t>
  </si>
  <si>
    <t>Coop Reg Eléctrica Llanquihue</t>
  </si>
  <si>
    <t>7081-00</t>
  </si>
  <si>
    <t>Suministro de Licencia Modubus Orion LX+</t>
  </si>
  <si>
    <t>Ordenes de Compra Enero</t>
  </si>
  <si>
    <t>Pacific Hydro</t>
  </si>
  <si>
    <t>5218-00</t>
  </si>
  <si>
    <t>Suminisro e iplementacion PMU SE Chacayes y Pta Sierra</t>
  </si>
  <si>
    <t>CGE</t>
  </si>
  <si>
    <t>5219-00</t>
  </si>
  <si>
    <t>Suminsitro e implemtacion PMU y block de pruebas</t>
  </si>
  <si>
    <t>5220-00</t>
  </si>
  <si>
    <t>Suministro y servicio de retrofit en la SSEE Ancoa</t>
  </si>
  <si>
    <t>Guacolda</t>
  </si>
  <si>
    <t>5221-00</t>
  </si>
  <si>
    <t xml:space="preserve">Hidroelectrica La Higuera/Confluenza </t>
  </si>
  <si>
    <t>5207-00</t>
  </si>
  <si>
    <t>Suministro 2 PMU La Higuera y Confluenza</t>
  </si>
  <si>
    <t>Agrosuper</t>
  </si>
  <si>
    <t>8391-00</t>
  </si>
  <si>
    <t>Servicio Levantamiento SITR SSEE</t>
  </si>
  <si>
    <t>Mantoverde</t>
  </si>
  <si>
    <t>8392-00</t>
  </si>
  <si>
    <t>Normalizacion señales SITR</t>
  </si>
  <si>
    <t>Ordenes de Compra Febrero</t>
  </si>
  <si>
    <t>IO Integración de Sistemas</t>
  </si>
  <si>
    <t>7082-00</t>
  </si>
  <si>
    <t>Suministro de 7 Licencias PDC Corporativas</t>
  </si>
  <si>
    <t>5205-01</t>
  </si>
  <si>
    <t>Suministro y montaje de un inverson DC-AC</t>
  </si>
  <si>
    <t>8352-01</t>
  </si>
  <si>
    <t>Implementacion PMU Arauco TG8 y Cholguan</t>
  </si>
  <si>
    <t>Occidental</t>
  </si>
  <si>
    <t>8393-00</t>
  </si>
  <si>
    <t>Configurar las comunicaciones del SITR</t>
  </si>
  <si>
    <t>Celeo</t>
  </si>
  <si>
    <t>8394-00</t>
  </si>
  <si>
    <t>Servicio de Mantenimiento Preventivo 1er Semestre 2026</t>
  </si>
  <si>
    <t>Cementos Melon</t>
  </si>
  <si>
    <t>8395-00</t>
  </si>
  <si>
    <t>Servicio Integración señales RTU</t>
  </si>
  <si>
    <t>8396-00</t>
  </si>
  <si>
    <t>Modernizar los servidores de los 5 PDC Regionales de Transelec</t>
  </si>
  <si>
    <t>Aes Andes</t>
  </si>
  <si>
    <t>8398-00</t>
  </si>
  <si>
    <t>Suministro de licencias PDC, INTEGRACIÓN y pruebas de PMU</t>
  </si>
  <si>
    <t>Enlight</t>
  </si>
  <si>
    <t>5222-00</t>
  </si>
  <si>
    <t xml:space="preserve">Servicio de integeracion y suministro PMUparque fotovoltaico la Huayca </t>
  </si>
  <si>
    <t>Ibereolica</t>
  </si>
  <si>
    <t>8336-01</t>
  </si>
  <si>
    <t>Actualización Zenon</t>
  </si>
  <si>
    <t>Ordenes de Compra Marzo</t>
  </si>
  <si>
    <t>Chiquinta Transmision</t>
  </si>
  <si>
    <t>8397-00</t>
  </si>
  <si>
    <t xml:space="preserve"> Integración de PMU Cardones a PDC Chilquinta y a PDC CEN, m'as Licencia Corporativa</t>
  </si>
  <si>
    <t>8399-00</t>
  </si>
  <si>
    <t>Integracion PMU Los Cururos, donde se conectara la PMU al PDC</t>
  </si>
  <si>
    <t>Gassur S.A.</t>
  </si>
  <si>
    <t>8400-00</t>
  </si>
  <si>
    <t>Levantamiento Central Newen PMU</t>
  </si>
  <si>
    <t>8401-00</t>
  </si>
  <si>
    <t>Redirecionamiento  PMU Chacayes</t>
  </si>
  <si>
    <t>Fundicion talleres</t>
  </si>
  <si>
    <t>8402-00</t>
  </si>
  <si>
    <t>Modificacion direccion IP del SITR</t>
  </si>
  <si>
    <t>LAP</t>
  </si>
  <si>
    <t>5155-01</t>
  </si>
  <si>
    <t>Suministro SFP Transceiver RJ45  de Orion MX</t>
  </si>
  <si>
    <t>5208-01</t>
  </si>
  <si>
    <t>Subcontrato de cableado de señales TP y TC PMU Cerro Navia</t>
  </si>
  <si>
    <t>Minera Meridian</t>
  </si>
  <si>
    <t>8365-01</t>
  </si>
  <si>
    <t>Vereficación Rele EDAC</t>
  </si>
  <si>
    <t>Tecma</t>
  </si>
  <si>
    <t>7083-00</t>
  </si>
  <si>
    <t>Suministro 10 Licencia corporativa</t>
  </si>
  <si>
    <t>Hitachi Energy</t>
  </si>
  <si>
    <t>7084-00</t>
  </si>
  <si>
    <t xml:space="preserve">Suministro Licencia </t>
  </si>
  <si>
    <t>Siete Energya</t>
  </si>
  <si>
    <t>7085-00</t>
  </si>
  <si>
    <t>Ordenes de Compra Abril</t>
  </si>
  <si>
    <t>GPE</t>
  </si>
  <si>
    <t>8403-00</t>
  </si>
  <si>
    <t>SCADA</t>
  </si>
  <si>
    <t>Integración Central Don Tito</t>
  </si>
  <si>
    <t>Alto Maipo</t>
  </si>
  <si>
    <t>8404-00</t>
  </si>
  <si>
    <t>Integración PMU Alfalfal</t>
  </si>
  <si>
    <t>Comasa</t>
  </si>
  <si>
    <t>5209-01</t>
  </si>
  <si>
    <t xml:space="preserve">Suministro de armarios </t>
  </si>
  <si>
    <t>Chilquinta Transmision</t>
  </si>
  <si>
    <t>8408-00</t>
  </si>
  <si>
    <t xml:space="preserve">integración de un relé NR PCS-9611S y un medidor ION8650 </t>
  </si>
  <si>
    <t>8399-01</t>
  </si>
  <si>
    <t>cambio del GPS de la PMU Los Cururos</t>
  </si>
  <si>
    <t>Aes</t>
  </si>
  <si>
    <t>8406-00</t>
  </si>
  <si>
    <t>Integración de las PMU del Sur, 4 en total</t>
  </si>
  <si>
    <t>Aela Eolica Sarco</t>
  </si>
  <si>
    <t>5125-02</t>
  </si>
  <si>
    <t>Ejecucion de Pruebas Faltante PMU PE Sarco</t>
  </si>
  <si>
    <t>Aela Eolica Llanquihue</t>
  </si>
  <si>
    <t>5126-01</t>
  </si>
  <si>
    <t>Ejecucion de Pruebas Faltante PMU</t>
  </si>
  <si>
    <t>Tecnored</t>
  </si>
  <si>
    <t>7086-00</t>
  </si>
  <si>
    <t>Suministro de GPS Kronos R2</t>
  </si>
  <si>
    <t>Chilquinta</t>
  </si>
  <si>
    <t>7087-00</t>
  </si>
  <si>
    <t>Suministro de 12 PMU Vizimax, 12 Licencias PDC Corporativo y 12 Licencias PDC Chilquinta</t>
  </si>
  <si>
    <t>Cia Minera Nevada</t>
  </si>
  <si>
    <t>5223-00</t>
  </si>
  <si>
    <t>Suministro e implementacion TER Punta Colorada</t>
  </si>
  <si>
    <t>Saesa</t>
  </si>
  <si>
    <t>5224-00</t>
  </si>
  <si>
    <t>Suministro de Servidor PDC con redundancia y licencias para 10 PMU</t>
  </si>
  <si>
    <t>5225-00</t>
  </si>
  <si>
    <t>Implementación de 8 PMU en Zona Cordillea</t>
  </si>
  <si>
    <t>5160-04</t>
  </si>
  <si>
    <t>Adicionales</t>
  </si>
  <si>
    <t>8410-00</t>
  </si>
  <si>
    <t>Suministro de 8 licencias Servicio de integración de 8 PMUS (</t>
  </si>
  <si>
    <t>Litoral Transmision</t>
  </si>
  <si>
    <t>5227-00</t>
  </si>
  <si>
    <t>Suministro de RTU Orion MX</t>
  </si>
  <si>
    <t>Ordenes de Compra Mayo</t>
  </si>
  <si>
    <t>5219-01</t>
  </si>
  <si>
    <t xml:space="preserve">Suministro de 3  Armarios Rittal </t>
  </si>
  <si>
    <t>Oxy</t>
  </si>
  <si>
    <t>7088-00</t>
  </si>
  <si>
    <t>Suministrar la licencia para el Firewall en Oxy</t>
  </si>
  <si>
    <t>7090-00</t>
  </si>
  <si>
    <t>Suministro de 2 licencias PDC</t>
  </si>
  <si>
    <t>7091-00</t>
  </si>
  <si>
    <t>Licencias</t>
  </si>
  <si>
    <t>Enlasa</t>
  </si>
  <si>
    <t>8405-00</t>
  </si>
  <si>
    <t xml:space="preserve">variables, instalaciones y personal para ejecutar las pruebas </t>
  </si>
  <si>
    <t>5225-01</t>
  </si>
  <si>
    <t>Licencias PDC Corporativo x2 y PDC Local x 2</t>
  </si>
  <si>
    <t>Eletrans III</t>
  </si>
  <si>
    <t>5226-00</t>
  </si>
  <si>
    <t xml:space="preserve">Suministro e implementación 2 PMU. </t>
  </si>
  <si>
    <t>8413-00</t>
  </si>
  <si>
    <t>Integrar las señales de los desconectadores HT4 a la RTU Orion de Quillota</t>
  </si>
  <si>
    <t>8414-00</t>
  </si>
  <si>
    <t xml:space="preserve">Levantamiento e ingeniería PMUs </t>
  </si>
  <si>
    <t>Engie</t>
  </si>
  <si>
    <t>5214-01</t>
  </si>
  <si>
    <t>Servicio de independización del núcleo de medición:</t>
  </si>
  <si>
    <t>5214-02</t>
  </si>
  <si>
    <t>Servicio adicional de arriendo de 4 días de maleta de pruebas Omicron CMC</t>
  </si>
  <si>
    <t>5228-00</t>
  </si>
  <si>
    <t>Servicio de reemplazo RTU</t>
  </si>
  <si>
    <t>Empresa Eléctrica Ventanas</t>
  </si>
  <si>
    <t>8411-00</t>
  </si>
  <si>
    <t>Finalización de integración del EDAGxCE PMU de Central Ventanas</t>
  </si>
  <si>
    <t>Ordenes de Compra Junio</t>
  </si>
  <si>
    <t>Atlas</t>
  </si>
  <si>
    <t>8409-00</t>
  </si>
  <si>
    <t>Integración de 2 PMU SEL Axon 2240 al PDC del CEN</t>
  </si>
  <si>
    <t>Ordenes de Compra Julio</t>
  </si>
  <si>
    <t>Ordenes de Compra 1er Semestre</t>
  </si>
  <si>
    <t>Oportunidad</t>
  </si>
  <si>
    <t>Vendedor</t>
  </si>
  <si>
    <t>Ingreso esperado</t>
  </si>
  <si>
    <t>Cierre esperado</t>
  </si>
  <si>
    <t>Etapa</t>
  </si>
  <si>
    <t>Probabilidad</t>
  </si>
  <si>
    <t>Ingreso con %</t>
  </si>
  <si>
    <t>Resultado Enero</t>
  </si>
  <si>
    <t>Transelec - Retrofit de Protecciones</t>
  </si>
  <si>
    <t>TRANSELEC S A</t>
  </si>
  <si>
    <t>Kevin Fuentealba</t>
  </si>
  <si>
    <t>Cierre 70% (Preferencia)</t>
  </si>
  <si>
    <t>Se corre a Febrero</t>
  </si>
  <si>
    <t>Electrica Puntilla - Ingeniería Ing. Basica y de Detalle (7 PMUs)</t>
  </si>
  <si>
    <t>Francisco Catalan</t>
  </si>
  <si>
    <t>Cierre 90% (Adjudicación Verbal)</t>
  </si>
  <si>
    <t>OC</t>
  </si>
  <si>
    <t>Integración de 9 Protecciones al SCADA</t>
  </si>
  <si>
    <t>Codelco</t>
  </si>
  <si>
    <t>Franco Travaglini</t>
  </si>
  <si>
    <t>acondicionamiento del SITR mantoverde</t>
  </si>
  <si>
    <t>MANTOS COPPER S.A.</t>
  </si>
  <si>
    <t>Codelco Gabriela Mistral - SLRP</t>
  </si>
  <si>
    <t>Reemplazo SAS Hualpén- Transelec</t>
  </si>
  <si>
    <t>Cierre 60% (CT Cubierto)</t>
  </si>
  <si>
    <t>PMU La Huayca</t>
  </si>
  <si>
    <t>Saferay</t>
  </si>
  <si>
    <t>Visita de levantamiento</t>
  </si>
  <si>
    <t>Suministro e Integración 4 x PMU y 1 x PDC centralizado</t>
  </si>
  <si>
    <t>Statkraft</t>
  </si>
  <si>
    <t>Servicios Reconectadores Fase 1</t>
  </si>
  <si>
    <t>Implementación 6 PMUs</t>
  </si>
  <si>
    <t>Inkia</t>
  </si>
  <si>
    <t>Cierre</t>
  </si>
  <si>
    <t>5 x PMU de Sonnedix + PDC</t>
  </si>
  <si>
    <t>Sonnedix PMU</t>
  </si>
  <si>
    <t>PMU - Eletrans</t>
  </si>
  <si>
    <t>Eletrans</t>
  </si>
  <si>
    <t>PMU Campo lindo y PE San Matias</t>
  </si>
  <si>
    <t>AES</t>
  </si>
  <si>
    <t>Suministro 3 PMU TER - Esperanza</t>
  </si>
  <si>
    <t>Enorchile S.A.</t>
  </si>
  <si>
    <t>Central Huasco  (3 PMU)</t>
  </si>
  <si>
    <t>PMU Mantos Blancos</t>
  </si>
  <si>
    <t>Diego Navarrete Lucero</t>
  </si>
  <si>
    <t>Retrofit Protecciones y SCADA La Huayca</t>
  </si>
  <si>
    <t>Guacolda - Eficiencia Energetica</t>
  </si>
  <si>
    <r>
      <t xml:space="preserve">PROYECCIÓN </t>
    </r>
    <r>
      <rPr>
        <b/>
        <u/>
        <sz val="11"/>
        <color theme="1"/>
        <rFont val="Calibri (Cuerpo)"/>
      </rPr>
      <t>INICIAL</t>
    </r>
  </si>
  <si>
    <t>Tinguiririca</t>
  </si>
  <si>
    <t>Resultado Febrero</t>
  </si>
  <si>
    <t>Drivers Mantos Blancos</t>
  </si>
  <si>
    <t>Se corre a Marzo</t>
  </si>
  <si>
    <t>Perdido</t>
  </si>
  <si>
    <t>Chilquinta - Suministro Relé NR SE Damascal</t>
  </si>
  <si>
    <t>Bruno Jofré</t>
  </si>
  <si>
    <t>Acondicionamiento del SITR</t>
  </si>
  <si>
    <t>Implementación 2 PMU</t>
  </si>
  <si>
    <t>Sigue en Febrero</t>
  </si>
  <si>
    <t>Trabajos adicionales Diego de Almagro</t>
  </si>
  <si>
    <t>Central Huasco y Guacolda (3 PMU) + 5 integraciones</t>
  </si>
  <si>
    <t>Modernización Servidores PDC</t>
  </si>
  <si>
    <t xml:space="preserve">Sigma &amp; Enaex - Retrofit de RTU </t>
  </si>
  <si>
    <t>Retrofit Protecciones La Huayca</t>
  </si>
  <si>
    <t>TECK - Capacitación de protecciones</t>
  </si>
  <si>
    <t>Teck</t>
  </si>
  <si>
    <t>Tecnored - Suministro de Relé NR</t>
  </si>
  <si>
    <t>Chilquinta Distribución</t>
  </si>
  <si>
    <r>
      <t xml:space="preserve">PROYECCIÓN ACTUALIZADA 
</t>
    </r>
    <r>
      <rPr>
        <b/>
        <u/>
        <sz val="11"/>
        <color theme="1"/>
        <rFont val="Calibri (Cuerpo)"/>
      </rPr>
      <t>AL CIERRE DE ENERO</t>
    </r>
  </si>
  <si>
    <t>Resultado Marzo</t>
  </si>
  <si>
    <t>Enlight Investments Spa</t>
  </si>
  <si>
    <t>Integración PMU Arrayan a Maitencillo</t>
  </si>
  <si>
    <t>Sonnedix Chile Holding S.p.A.</t>
  </si>
  <si>
    <t>Se corre a Abril</t>
  </si>
  <si>
    <t>Ampliación PDC 3 Licencias</t>
  </si>
  <si>
    <t>Acciona Energia Chile S.p.A.</t>
  </si>
  <si>
    <t>PDC SAESA</t>
  </si>
  <si>
    <t>Sociedad Austral de Electricidad S.A.</t>
  </si>
  <si>
    <t>Mtto PDCE 2026</t>
  </si>
  <si>
    <t>CELEO REDES CHILE LIMITADA</t>
  </si>
  <si>
    <t>IO - Licencias PDC</t>
  </si>
  <si>
    <t>IO</t>
  </si>
  <si>
    <t>Scada</t>
  </si>
  <si>
    <t>Scada se magallanes</t>
  </si>
  <si>
    <t>ENAP</t>
  </si>
  <si>
    <t>?</t>
  </si>
  <si>
    <t>Chilquinta - Trabajos adicionales RTU SE DDA</t>
  </si>
  <si>
    <t>Se corre a Mayo</t>
  </si>
  <si>
    <t>Transelec - Repro 2026</t>
  </si>
  <si>
    <t>Cancelado</t>
  </si>
  <si>
    <t>Se corre a Junio</t>
  </si>
  <si>
    <t>Presupuestario</t>
  </si>
  <si>
    <t>Se corre a Sept</t>
  </si>
  <si>
    <t>Chilquinta Distribucion S.A.</t>
  </si>
  <si>
    <r>
      <t xml:space="preserve">PROYECCIÓN ACTUALIZADA 
</t>
    </r>
    <r>
      <rPr>
        <b/>
        <u/>
        <sz val="11"/>
        <color theme="1"/>
        <rFont val="Calibri"/>
        <family val="2"/>
        <scheme val="minor"/>
      </rPr>
      <t xml:space="preserve">AL CIERRE DE </t>
    </r>
    <r>
      <rPr>
        <b/>
        <u/>
        <sz val="11"/>
        <color theme="1"/>
        <rFont val="Calibri (Cuerpo)"/>
      </rPr>
      <t>MARZO</t>
    </r>
  </si>
  <si>
    <t>Ingresos</t>
  </si>
  <si>
    <t>Egresos</t>
  </si>
  <si>
    <t>Q1</t>
  </si>
  <si>
    <t>Proyección Inicial</t>
  </si>
  <si>
    <t>Resultado</t>
  </si>
  <si>
    <t>PMU</t>
  </si>
  <si>
    <t>Gas sur</t>
  </si>
  <si>
    <t>Ingeniería para implementación de 33 PMU</t>
  </si>
  <si>
    <t>Colbún</t>
  </si>
  <si>
    <t>Cotización</t>
  </si>
  <si>
    <t>Barrick</t>
  </si>
  <si>
    <t>Equipos</t>
  </si>
  <si>
    <t>CPP</t>
  </si>
  <si>
    <t>Alfonso Calderón</t>
  </si>
  <si>
    <t>Resultado Abril</t>
  </si>
  <si>
    <t>implementación PMU</t>
  </si>
  <si>
    <t>Grupo Saesa</t>
  </si>
  <si>
    <t>2 x EDAG + 2 x PMU</t>
  </si>
  <si>
    <t>Southenergy Spa</t>
  </si>
  <si>
    <t>SCADA Nova - SE</t>
  </si>
  <si>
    <t>Suministro Licencias PDC</t>
  </si>
  <si>
    <t>AES ANDES S.A.</t>
  </si>
  <si>
    <t>Los Cururos implementacion de PMU</t>
  </si>
  <si>
    <t>Ingeniería 33 PMUs</t>
  </si>
  <si>
    <t>Falta traspaso</t>
  </si>
  <si>
    <t>PMU Santiago Solar</t>
  </si>
  <si>
    <t>EDF en Chile Holding SpA</t>
  </si>
  <si>
    <t>EDAGxCE Conejo</t>
  </si>
  <si>
    <t>Adicionales - montaje switch Ancud</t>
  </si>
  <si>
    <t>Se corre a Noviembre</t>
  </si>
  <si>
    <t>SITR Linea 7</t>
  </si>
  <si>
    <t>EMPRESA DE TRANSPORTES DE PASAJEROS METRO S.A.</t>
  </si>
  <si>
    <t>SLRP - Centralizado</t>
  </si>
  <si>
    <t>AES ANDES S.A</t>
  </si>
  <si>
    <t>Chilquinta Transmisión S.A.</t>
  </si>
  <si>
    <t>Dashboard de integración Medidores</t>
  </si>
  <si>
    <t>No aparece en embudo</t>
  </si>
  <si>
    <t>SLRP y PDC Centro de Control</t>
  </si>
  <si>
    <t>Posicionamiento</t>
  </si>
  <si>
    <t>Implementación 2 PMUs</t>
  </si>
  <si>
    <t>X-elio</t>
  </si>
  <si>
    <t>Implementación PMU</t>
  </si>
  <si>
    <t>Eletrans III S.A</t>
  </si>
  <si>
    <t>Implementacion PDC</t>
  </si>
  <si>
    <t>ENORCHILE S.A.</t>
  </si>
  <si>
    <t>Guacolda - Analisis y medción de calidad de energía</t>
  </si>
  <si>
    <t>falta flujo</t>
  </si>
  <si>
    <t>PMU Zona Centro</t>
  </si>
  <si>
    <t>Suministro e implementación PMU</t>
  </si>
  <si>
    <t>Minera American Barrick Ltda.</t>
  </si>
  <si>
    <t>Edaltec - Implementación  /Suministro PMU - Licencia PDC</t>
  </si>
  <si>
    <t>Codelco Gabriela Mistral</t>
  </si>
  <si>
    <t>Contrato Marco 15 PMU</t>
  </si>
  <si>
    <t>2 x PMU Central Trineo y  Maitencillo</t>
  </si>
  <si>
    <t>Siete Energía</t>
  </si>
  <si>
    <t>SITR ENAEX - VERTICE CONSULTORES SPA</t>
  </si>
  <si>
    <t>SIGMA ENERGÍA SPA</t>
  </si>
  <si>
    <t>Mantos Cooper</t>
  </si>
  <si>
    <t>Chilquinta - Retrofit de RTU S/E Quilpue</t>
  </si>
  <si>
    <t>Yokogawa - Reemplazo RTU (9) GNL</t>
  </si>
  <si>
    <t>Yokogawa Electric</t>
  </si>
  <si>
    <t>CMP - Mina el Romeral -Retrofit de protecciones</t>
  </si>
  <si>
    <t>Energía Pacifico - Retrofit 3 protecciones</t>
  </si>
  <si>
    <t>Codelco Chuquicamata - Synchroteq SE 10A</t>
  </si>
  <si>
    <t>Chilquinta Retrofit RTU Kingfisher S/E San pedro</t>
  </si>
  <si>
    <t>Chilquinta - Retrofit RTU Kingfisher S/E San Torquemada</t>
  </si>
  <si>
    <t>Chilquinta - Retrofit RTU SICAM S/E Peña Blanca</t>
  </si>
  <si>
    <t>Delta-Electric - Servicios de Protecciones</t>
  </si>
  <si>
    <t>Sigma - Levantamiento EDAC y reemplazo de RTU  Indura</t>
  </si>
  <si>
    <t>Guacolda - Mantenimiento Protecciones Termoelectrica Central Generador 1,2,3,4 y 5</t>
  </si>
  <si>
    <t>Empresa Eléctrica Guacolda</t>
  </si>
  <si>
    <t>Tecnored - Actualización EDAC y Reemplazo RTU Inchalam</t>
  </si>
  <si>
    <t>Implementación 4 PMUs</t>
  </si>
  <si>
    <t>Licitación Proyeto PMUs</t>
  </si>
  <si>
    <t>Innergex Energia Renovable S.p.A.</t>
  </si>
  <si>
    <t>Ferrovial - 4 PMU Centella Transmisión</t>
  </si>
  <si>
    <t>Ingeniería y Montajes Ferrovial</t>
  </si>
  <si>
    <t>licencia PDC Corporativo.</t>
  </si>
  <si>
    <t>REDEIA CORPORACION SA.</t>
  </si>
  <si>
    <t>LICENCIAS PDC Corportivo x 2</t>
  </si>
  <si>
    <t>WPD Chile</t>
  </si>
  <si>
    <t>Edaltec - Licencias PDC</t>
  </si>
  <si>
    <t>Soporte remoto configuración e instalación GPS</t>
  </si>
  <si>
    <t>VERTICE CONSULTORES SPA</t>
  </si>
  <si>
    <t>Vertice - Suministro GPS para EDAC ENAEX</t>
  </si>
  <si>
    <t>Retrofit SCADA PE San Juan</t>
  </si>
  <si>
    <t>Colbun, Colbun</t>
  </si>
  <si>
    <t>Servidor Redundante Centro de Control</t>
  </si>
  <si>
    <t>Gestion de Proyectos Electricos S.A.</t>
  </si>
  <si>
    <t>Mantoverde - SCADA Integrador</t>
  </si>
  <si>
    <t>Control Compuertas - Rio Colorado</t>
  </si>
  <si>
    <t>TEN - Suministro 2 RTU Orion + Configuración</t>
  </si>
  <si>
    <t>Chilquinta - Retrofit de RTU S/E Bosquemar</t>
  </si>
  <si>
    <t>2 PMU</t>
  </si>
  <si>
    <t>Consorcio Santa Marta</t>
  </si>
  <si>
    <t>Francisco Catalán</t>
  </si>
  <si>
    <t>Suministro 10 PMU y PDC</t>
  </si>
  <si>
    <t>Retrofit SCADA</t>
  </si>
  <si>
    <t>Resultado Mayo</t>
  </si>
  <si>
    <t>10 PMU Zona Cordillera</t>
  </si>
  <si>
    <t>l</t>
  </si>
  <si>
    <t>Consorcio Santa Marta S.A.</t>
  </si>
  <si>
    <t>Se corre a Agosto</t>
  </si>
  <si>
    <t>I</t>
  </si>
  <si>
    <t>Servicio arriendo de maleta omicron 356 - Synchroteq</t>
  </si>
  <si>
    <t>Engie Energia Chile S.A.</t>
  </si>
  <si>
    <t>Se corre a Julio</t>
  </si>
  <si>
    <t>Suministro GPS Kronos</t>
  </si>
  <si>
    <t>Tecnored S.A.</t>
  </si>
  <si>
    <t>Servicio de Independización de Nucleos</t>
  </si>
  <si>
    <t>Eletrans Implementación 2 x PMU</t>
  </si>
  <si>
    <t>Adecuación EDAC</t>
  </si>
  <si>
    <t>Eka Chile S.A.</t>
  </si>
  <si>
    <t>Suministro Gabinetes para PMU</t>
  </si>
  <si>
    <t>CGE TRANSMISION SA</t>
  </si>
  <si>
    <t>Integración de PMU Sarco y Aurora</t>
  </si>
  <si>
    <t>PMU Domeyko</t>
  </si>
  <si>
    <t>VERANO EPC SPA</t>
  </si>
  <si>
    <t>Implementación 7 PMU</t>
  </si>
  <si>
    <t>Suministro RTU SE Balandras</t>
  </si>
  <si>
    <t>implementación 18 x PMU</t>
  </si>
  <si>
    <t>SCADA Nova - CC</t>
  </si>
  <si>
    <t>Quantica - Licencias PDC</t>
  </si>
  <si>
    <t>QUANTICA INGENIERIA SPA</t>
  </si>
  <si>
    <t>Servicios RTU SE Balandras</t>
  </si>
  <si>
    <t>Licitación Proyecto PMUs</t>
  </si>
  <si>
    <t>Minera Escondida Limitada</t>
  </si>
  <si>
    <t>Guacolda Energia SpA</t>
  </si>
  <si>
    <t>Integración PMU Norte</t>
  </si>
  <si>
    <t>Energia Latina S.A.</t>
  </si>
  <si>
    <t>Suministro de licencias e integración 4 PMU</t>
  </si>
  <si>
    <t>Suministro 1 PMU TER - Esperanza</t>
  </si>
  <si>
    <t>OPAL - UCH</t>
  </si>
  <si>
    <t>Universidad de Chile</t>
  </si>
  <si>
    <t>Mantoverde S.A.</t>
  </si>
  <si>
    <t>Retrofit RTU SE Reñaca</t>
  </si>
  <si>
    <t>RTU - SE Laberinto</t>
  </si>
  <si>
    <t>Transmisora Electrica Del Norte S.A.</t>
  </si>
  <si>
    <r>
      <t xml:space="preserve">PROYECCIÓN ACTUALIZADA
</t>
    </r>
    <r>
      <rPr>
        <b/>
        <u/>
        <sz val="11"/>
        <color theme="1"/>
        <rFont val="Calibri (Cuerpo)"/>
      </rPr>
      <t>AL CIERRE DE ABRIL</t>
    </r>
  </si>
  <si>
    <t>Resultado Junio</t>
  </si>
  <si>
    <t>Integración 2 PMU</t>
  </si>
  <si>
    <t>ATLAS Renevable Energy</t>
  </si>
  <si>
    <t>Integración PMU Libelula</t>
  </si>
  <si>
    <t>licencias Firewall</t>
  </si>
  <si>
    <t>OCCIDENTAL CHEMICAL CHILE LIMITADA</t>
  </si>
  <si>
    <t>Asesoria Normativa SITR</t>
  </si>
  <si>
    <t>C-SES SPA</t>
  </si>
  <si>
    <t>Se corre al 2027</t>
  </si>
  <si>
    <t>Se corre a Octubre</t>
  </si>
  <si>
    <t>Suministro RTU Codelco</t>
  </si>
  <si>
    <t>Vertice consultores</t>
  </si>
  <si>
    <t>Piloto de integración Medidores</t>
  </si>
  <si>
    <t>Fuera del embudo</t>
  </si>
  <si>
    <r>
      <t xml:space="preserve">PROYECCIÓN ACTUALIZADA
</t>
    </r>
    <r>
      <rPr>
        <b/>
        <u/>
        <sz val="11"/>
        <color theme="1"/>
        <rFont val="Calibri (Cuerpo)"/>
      </rPr>
      <t>AL CIERRE DE MAYO</t>
    </r>
  </si>
  <si>
    <t>JULIO</t>
  </si>
  <si>
    <t>Actualizar flujo 260317</t>
  </si>
  <si>
    <t>Resultado Julio</t>
  </si>
  <si>
    <t>Pruebas PRS-SCADA</t>
  </si>
  <si>
    <t>Enfragen , Llc</t>
  </si>
  <si>
    <t>Pruebas PRS</t>
  </si>
  <si>
    <t>SAESA</t>
  </si>
  <si>
    <t>Integración 2 PMU a PDC</t>
  </si>
  <si>
    <t>No tiene flujo</t>
  </si>
  <si>
    <t>Falta flujo</t>
  </si>
  <si>
    <t>Servicios Protecciones</t>
  </si>
  <si>
    <t>Transquinta</t>
  </si>
  <si>
    <t>CTNG</t>
  </si>
  <si>
    <t>Eletrans I</t>
  </si>
  <si>
    <t>Contrato de mantenimiento</t>
  </si>
  <si>
    <t>Estación de Ingeniería</t>
  </si>
  <si>
    <t>Licencia SQL</t>
  </si>
  <si>
    <t>Cooperativa Regional Electrica Llanquihue Limitada</t>
  </si>
  <si>
    <t>Retrofit Lomas Bayas</t>
  </si>
  <si>
    <t>Lomas Bayas</t>
  </si>
  <si>
    <t>Flujo</t>
  </si>
  <si>
    <t>Retrofit de RTU SE Polpaico</t>
  </si>
  <si>
    <t>Guacolda - Eficiencia Energetica (Medidores)</t>
  </si>
  <si>
    <t>CMP - Mina El Romeral - Implementación RTU / SCADA Local</t>
  </si>
  <si>
    <t>Compania Minera del Pacifico S.A.</t>
  </si>
  <si>
    <t>Licencias PDC LOCAL Y CORPO</t>
  </si>
  <si>
    <t>Colbun S.A.</t>
  </si>
  <si>
    <t>Sonnedix Integración 7 PMU</t>
  </si>
  <si>
    <t>Sonnedix</t>
  </si>
  <si>
    <t>Suministro e implementación 2 PMU</t>
  </si>
  <si>
    <t>Prime Energía 21 PMU y PDC</t>
  </si>
  <si>
    <t>Auditoria SDAC</t>
  </si>
  <si>
    <t>Coordinador Independiente del Sistema Electrico Nacional</t>
  </si>
  <si>
    <t>Visualización Móvil</t>
  </si>
  <si>
    <t>Chilquinta Zona Cordillera - Retrofit de 5 RTU</t>
  </si>
  <si>
    <r>
      <t xml:space="preserve">PROYECCIÓN ACTUALIZADA
</t>
    </r>
    <r>
      <rPr>
        <b/>
        <u/>
        <sz val="11"/>
        <color theme="1"/>
        <rFont val="Calibri (Cuerpo)"/>
      </rPr>
      <t>AL CIERRE DE JUNIO</t>
    </r>
  </si>
  <si>
    <t>SLRP para PMGD</t>
  </si>
  <si>
    <t>Novasource Power Services</t>
  </si>
  <si>
    <t>Nota</t>
  </si>
  <si>
    <t>En backlog</t>
  </si>
  <si>
    <t>Transelec - Retrofit de Protecciones 2026</t>
  </si>
  <si>
    <t>Añadir flujo</t>
  </si>
  <si>
    <t>Mantenimiento</t>
  </si>
  <si>
    <t>6 PMU</t>
  </si>
  <si>
    <t>3 Licencias PDC</t>
  </si>
  <si>
    <t>Acciona</t>
  </si>
  <si>
    <t>Por portal adjudicado</t>
  </si>
  <si>
    <t>revisar oferta 250823</t>
  </si>
  <si>
    <t>Implementación 18 PMUs</t>
  </si>
  <si>
    <t>4 PMU</t>
  </si>
  <si>
    <t>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</si>
</sst>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&quot;$&quot;#,##0;[Red]&quot;$&quot;\-#,##0"/>
    <numFmt numFmtId="165" formatCode="_ &quot;$&quot;* #,##0_ ;_ &quot;$&quot;* \-#,##0_ ;_ &quot;$&quot;* &quot;-&quot;_ ;_ @_ "/>
    <numFmt numFmtId="166" formatCode="yyyy\-mm\-dd"/>
    <numFmt numFmtId="167" formatCode="_ [$$-340A]* #,##0_ ;_ [$$-340A]* \-#,##0_ ;_ [$$-340A]* &quot;-&quot;_ ;_ @_ "/>
    <numFmt numFmtId="168" formatCode="_ [$$-340A]* #,##0.0_ ;_ [$$-340A]* \-#,##0.0_ ;_ [$$-340A]* &quot;-&quot;_ ;_ @_ "/>
    <numFmt numFmtId="169" formatCode="_ &quot;$&quot;* #,##0.0_ ;_ &quot;$&quot;* \-#,##0.0_ ;_ &quot;$&quot;* &quot;-&quot;_ ;_ @_ "/>
    <numFmt numFmtId="170" formatCode="_ &quot;$&quot;* #,##0.00_ ;_ &quot;$&quot;* \-#,##0.00_ ;_ &quot;$&quot;* &quot;-&quot;_ ;_ @_ 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Roboto"/>
    </font>
    <font>
      <sz val="10"/>
      <color rgb="FFFFFFFF"/>
      <name val="Roboto"/>
    </font>
    <font>
      <b/>
      <sz val="10"/>
      <color rgb="FFE7E6E6"/>
      <name val="Roboto"/>
    </font>
    <font>
      <b/>
      <sz val="10"/>
      <name val="Roboto"/>
    </font>
    <font>
      <sz val="10"/>
      <color rgb="FFE7E6E6"/>
      <name val="Arial"/>
      <family val="2"/>
    </font>
    <font>
      <sz val="10"/>
      <name val="Roboto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E7E6E6"/>
      <name val="Calibri"/>
      <family val="2"/>
      <scheme val="minor"/>
    </font>
    <font>
      <b/>
      <sz val="10"/>
      <color rgb="FF434343"/>
      <name val="Roboto"/>
    </font>
    <font>
      <sz val="10"/>
      <color rgb="FF000000"/>
      <name val="Arial"/>
      <family val="2"/>
    </font>
    <font>
      <sz val="9"/>
      <color theme="1"/>
      <name val="Roboto"/>
    </font>
    <font>
      <b/>
      <sz val="10"/>
      <color rgb="FFFFFFFF"/>
      <name val="Roboto"/>
    </font>
    <font>
      <sz val="12"/>
      <color rgb="FF1F4E7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4"/>
      <color rgb="FF1F4E78"/>
      <name val="Roboto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0"/>
      <color rgb="FF000000"/>
      <name val="Roboto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 (Cuerpo)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ahoma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ED7D3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8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164" fontId="5" fillId="0" borderId="1" xfId="0" applyNumberFormat="1" applyFont="1" applyBorder="1"/>
    <xf numFmtId="0" fontId="15" fillId="0" borderId="0" xfId="0" applyFont="1"/>
    <xf numFmtId="0" fontId="2" fillId="2" borderId="1" xfId="0" applyFont="1" applyFill="1" applyBorder="1"/>
    <xf numFmtId="0" fontId="14" fillId="3" borderId="1" xfId="0" applyFont="1" applyFill="1" applyBorder="1" applyAlignment="1">
      <alignment horizontal="center"/>
    </xf>
    <xf numFmtId="0" fontId="16" fillId="4" borderId="1" xfId="0" applyFont="1" applyFill="1" applyBorder="1"/>
    <xf numFmtId="165" fontId="16" fillId="4" borderId="1" xfId="1" applyFont="1" applyFill="1" applyBorder="1"/>
    <xf numFmtId="9" fontId="16" fillId="4" borderId="1" xfId="2" applyFont="1" applyFill="1" applyBorder="1"/>
    <xf numFmtId="0" fontId="0" fillId="0" borderId="1" xfId="0" applyBorder="1" applyAlignment="1">
      <alignment wrapText="1"/>
    </xf>
    <xf numFmtId="165" fontId="0" fillId="0" borderId="1" xfId="1" applyFont="1" applyBorder="1" applyAlignment="1">
      <alignment wrapText="1"/>
    </xf>
    <xf numFmtId="166" fontId="0" fillId="0" borderId="1" xfId="0" applyNumberFormat="1" applyBorder="1" applyAlignment="1">
      <alignment wrapText="1"/>
    </xf>
    <xf numFmtId="9" fontId="0" fillId="0" borderId="1" xfId="2" applyFont="1" applyBorder="1" applyAlignment="1">
      <alignment wrapText="1"/>
    </xf>
    <xf numFmtId="165" fontId="0" fillId="0" borderId="0" xfId="1" applyFont="1"/>
    <xf numFmtId="9" fontId="0" fillId="0" borderId="0" xfId="2" applyFont="1"/>
    <xf numFmtId="9" fontId="17" fillId="0" borderId="0" xfId="2" applyFont="1" applyAlignment="1">
      <alignment horizontal="right"/>
    </xf>
    <xf numFmtId="0" fontId="0" fillId="0" borderId="0" xfId="0" applyAlignment="1">
      <alignment wrapText="1"/>
    </xf>
    <xf numFmtId="0" fontId="18" fillId="0" borderId="0" xfId="0" applyFont="1"/>
    <xf numFmtId="0" fontId="19" fillId="0" borderId="1" xfId="0" applyFont="1" applyBorder="1"/>
    <xf numFmtId="0" fontId="19" fillId="0" borderId="1" xfId="0" applyFont="1" applyBorder="1" applyAlignment="1">
      <alignment wrapText="1"/>
    </xf>
    <xf numFmtId="165" fontId="19" fillId="0" borderId="1" xfId="1" applyFont="1" applyBorder="1" applyAlignment="1">
      <alignment wrapText="1"/>
    </xf>
    <xf numFmtId="166" fontId="19" fillId="0" borderId="1" xfId="0" applyNumberFormat="1" applyFont="1" applyBorder="1" applyAlignment="1">
      <alignment wrapText="1"/>
    </xf>
    <xf numFmtId="9" fontId="19" fillId="0" borderId="1" xfId="2" applyFont="1" applyBorder="1" applyAlignment="1">
      <alignment wrapText="1"/>
    </xf>
    <xf numFmtId="165" fontId="16" fillId="4" borderId="2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/>
    <xf numFmtId="0" fontId="20" fillId="3" borderId="1" xfId="0" applyFont="1" applyFill="1" applyBorder="1"/>
    <xf numFmtId="167" fontId="20" fillId="3" borderId="1" xfId="0" applyNumberFormat="1" applyFont="1" applyFill="1" applyBorder="1"/>
    <xf numFmtId="9" fontId="21" fillId="0" borderId="0" xfId="2" applyFont="1" applyAlignment="1">
      <alignment horizontal="right"/>
    </xf>
    <xf numFmtId="165" fontId="19" fillId="0" borderId="0" xfId="0" applyNumberFormat="1" applyFont="1"/>
    <xf numFmtId="165" fontId="0" fillId="5" borderId="0" xfId="1" applyFont="1" applyFill="1"/>
    <xf numFmtId="9" fontId="17" fillId="5" borderId="0" xfId="2" applyFont="1" applyFill="1" applyAlignment="1">
      <alignment horizontal="right"/>
    </xf>
    <xf numFmtId="0" fontId="22" fillId="0" borderId="1" xfId="0" applyFont="1" applyBorder="1"/>
    <xf numFmtId="167" fontId="22" fillId="0" borderId="1" xfId="0" applyNumberFormat="1" applyFont="1" applyBorder="1"/>
    <xf numFmtId="0" fontId="22" fillId="0" borderId="3" xfId="0" applyFont="1" applyBorder="1"/>
    <xf numFmtId="164" fontId="7" fillId="0" borderId="1" xfId="0" applyNumberFormat="1" applyFont="1" applyBorder="1" applyAlignment="1">
      <alignment horizontal="center"/>
    </xf>
    <xf numFmtId="168" fontId="22" fillId="0" borderId="1" xfId="0" applyNumberFormat="1" applyFont="1" applyBorder="1"/>
    <xf numFmtId="165" fontId="0" fillId="0" borderId="1" xfId="1" applyFont="1" applyFill="1" applyBorder="1" applyAlignment="1">
      <alignment wrapText="1"/>
    </xf>
    <xf numFmtId="9" fontId="0" fillId="0" borderId="1" xfId="2" applyFont="1" applyFill="1" applyBorder="1" applyAlignment="1">
      <alignment wrapText="1"/>
    </xf>
    <xf numFmtId="165" fontId="19" fillId="0" borderId="1" xfId="1" applyFont="1" applyFill="1" applyBorder="1" applyAlignment="1">
      <alignment wrapText="1"/>
    </xf>
    <xf numFmtId="9" fontId="19" fillId="0" borderId="1" xfId="2" applyFont="1" applyFill="1" applyBorder="1" applyAlignment="1">
      <alignment wrapText="1"/>
    </xf>
    <xf numFmtId="0" fontId="19" fillId="0" borderId="0" xfId="0" applyFont="1"/>
    <xf numFmtId="165" fontId="23" fillId="0" borderId="1" xfId="1" applyFont="1" applyFill="1" applyBorder="1" applyAlignment="1">
      <alignment wrapText="1"/>
    </xf>
    <xf numFmtId="165" fontId="19" fillId="0" borderId="0" xfId="1" applyFont="1"/>
    <xf numFmtId="9" fontId="19" fillId="6" borderId="1" xfId="2" applyFont="1" applyFill="1" applyBorder="1" applyAlignment="1">
      <alignment wrapText="1"/>
    </xf>
    <xf numFmtId="166" fontId="0" fillId="6" borderId="1" xfId="0" applyNumberFormat="1" applyFill="1" applyBorder="1" applyAlignment="1">
      <alignment wrapText="1"/>
    </xf>
    <xf numFmtId="0" fontId="19" fillId="6" borderId="1" xfId="0" applyFont="1" applyFill="1" applyBorder="1"/>
    <xf numFmtId="0" fontId="19" fillId="6" borderId="1" xfId="0" applyFont="1" applyFill="1" applyBorder="1" applyAlignment="1">
      <alignment wrapText="1"/>
    </xf>
    <xf numFmtId="165" fontId="19" fillId="6" borderId="1" xfId="1" applyFont="1" applyFill="1" applyBorder="1" applyAlignment="1">
      <alignment wrapText="1"/>
    </xf>
    <xf numFmtId="166" fontId="19" fillId="6" borderId="1" xfId="0" applyNumberFormat="1" applyFont="1" applyFill="1" applyBorder="1" applyAlignment="1">
      <alignment wrapText="1"/>
    </xf>
    <xf numFmtId="165" fontId="9" fillId="0" borderId="1" xfId="1" applyFont="1" applyFill="1" applyBorder="1" applyAlignment="1">
      <alignment wrapText="1"/>
    </xf>
    <xf numFmtId="9" fontId="1" fillId="0" borderId="1" xfId="2" applyFont="1" applyFill="1" applyBorder="1" applyAlignment="1">
      <alignment wrapText="1"/>
    </xf>
    <xf numFmtId="165" fontId="1" fillId="0" borderId="1" xfId="1" applyFont="1" applyFill="1" applyBorder="1" applyAlignment="1">
      <alignment wrapText="1"/>
    </xf>
    <xf numFmtId="9" fontId="0" fillId="6" borderId="1" xfId="2" applyFont="1" applyFill="1" applyBorder="1" applyAlignment="1">
      <alignment wrapText="1"/>
    </xf>
    <xf numFmtId="0" fontId="25" fillId="0" borderId="0" xfId="0" applyFont="1"/>
    <xf numFmtId="165" fontId="19" fillId="0" borderId="1" xfId="0" applyNumberFormat="1" applyFont="1" applyBorder="1"/>
    <xf numFmtId="0" fontId="19" fillId="7" borderId="1" xfId="0" applyFont="1" applyFill="1" applyBorder="1"/>
    <xf numFmtId="0" fontId="19" fillId="7" borderId="1" xfId="0" applyFont="1" applyFill="1" applyBorder="1" applyAlignment="1">
      <alignment wrapText="1"/>
    </xf>
    <xf numFmtId="165" fontId="19" fillId="7" borderId="1" xfId="1" applyFont="1" applyFill="1" applyBorder="1" applyAlignment="1">
      <alignment wrapText="1"/>
    </xf>
    <xf numFmtId="166" fontId="19" fillId="7" borderId="1" xfId="0" applyNumberFormat="1" applyFont="1" applyFill="1" applyBorder="1" applyAlignment="1">
      <alignment wrapText="1"/>
    </xf>
    <xf numFmtId="9" fontId="19" fillId="7" borderId="1" xfId="2" applyFont="1" applyFill="1" applyBorder="1" applyAlignment="1">
      <alignment wrapText="1"/>
    </xf>
    <xf numFmtId="0" fontId="0" fillId="7" borderId="1" xfId="0" applyFill="1" applyBorder="1"/>
    <xf numFmtId="0" fontId="20" fillId="3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3" fontId="22" fillId="0" borderId="1" xfId="0" applyNumberFormat="1" applyFont="1" applyBorder="1"/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165" fontId="26" fillId="0" borderId="0" xfId="0" applyNumberFormat="1" applyFont="1" applyAlignment="1">
      <alignment horizontal="center"/>
    </xf>
    <xf numFmtId="4" fontId="0" fillId="0" borderId="1" xfId="0" applyNumberFormat="1" applyBorder="1" applyAlignment="1">
      <alignment wrapText="1"/>
    </xf>
    <xf numFmtId="9" fontId="17" fillId="0" borderId="1" xfId="2" applyFont="1" applyBorder="1" applyAlignment="1">
      <alignment horizontal="right"/>
    </xf>
    <xf numFmtId="165" fontId="0" fillId="0" borderId="1" xfId="1" applyFont="1" applyBorder="1"/>
    <xf numFmtId="9" fontId="21" fillId="0" borderId="1" xfId="2" applyFont="1" applyBorder="1" applyAlignment="1">
      <alignment horizontal="right"/>
    </xf>
    <xf numFmtId="9" fontId="17" fillId="5" borderId="1" xfId="2" applyFont="1" applyFill="1" applyBorder="1" applyAlignment="1">
      <alignment horizontal="right"/>
    </xf>
    <xf numFmtId="165" fontId="0" fillId="5" borderId="1" xfId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7" borderId="1" xfId="0" applyFill="1" applyBorder="1" applyAlignment="1">
      <alignment wrapText="1"/>
    </xf>
    <xf numFmtId="165" fontId="0" fillId="7" borderId="1" xfId="1" applyFont="1" applyFill="1" applyBorder="1" applyAlignment="1">
      <alignment wrapText="1"/>
    </xf>
    <xf numFmtId="9" fontId="0" fillId="0" borderId="0" xfId="0" applyNumberFormat="1"/>
    <xf numFmtId="0" fontId="14" fillId="8" borderId="1" xfId="0" applyFont="1" applyFill="1" applyBorder="1" applyAlignment="1">
      <alignment horizontal="center"/>
    </xf>
    <xf numFmtId="0" fontId="20" fillId="8" borderId="1" xfId="0" applyFont="1" applyFill="1" applyBorder="1"/>
    <xf numFmtId="167" fontId="20" fillId="8" borderId="1" xfId="0" applyNumberFormat="1" applyFont="1" applyFill="1" applyBorder="1"/>
    <xf numFmtId="0" fontId="20" fillId="8" borderId="4" xfId="0" applyFont="1" applyFill="1" applyBorder="1" applyAlignment="1">
      <alignment horizontal="center"/>
    </xf>
    <xf numFmtId="0" fontId="20" fillId="8" borderId="5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3" fontId="20" fillId="3" borderId="1" xfId="0" applyNumberFormat="1" applyFont="1" applyFill="1" applyBorder="1"/>
    <xf numFmtId="3" fontId="20" fillId="8" borderId="1" xfId="0" applyNumberFormat="1" applyFont="1" applyFill="1" applyBorder="1"/>
    <xf numFmtId="0" fontId="0" fillId="0" borderId="2" xfId="0" applyBorder="1"/>
    <xf numFmtId="9" fontId="0" fillId="0" borderId="2" xfId="2" applyFont="1" applyBorder="1"/>
    <xf numFmtId="14" fontId="0" fillId="0" borderId="2" xfId="0" applyNumberFormat="1" applyBorder="1"/>
    <xf numFmtId="169" fontId="0" fillId="7" borderId="1" xfId="1" applyNumberFormat="1" applyFont="1" applyFill="1" applyBorder="1" applyAlignment="1">
      <alignment wrapText="1"/>
    </xf>
    <xf numFmtId="165" fontId="16" fillId="4" borderId="10" xfId="1" applyFont="1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5" fontId="0" fillId="0" borderId="0" xfId="1" applyFont="1" applyBorder="1" applyAlignment="1">
      <alignment horizontal="center"/>
    </xf>
    <xf numFmtId="165" fontId="0" fillId="0" borderId="0" xfId="1" applyFont="1" applyBorder="1" applyAlignment="1">
      <alignment horizontal="left"/>
    </xf>
    <xf numFmtId="165" fontId="19" fillId="0" borderId="3" xfId="0" applyNumberFormat="1" applyFont="1" applyBorder="1"/>
    <xf numFmtId="165" fontId="0" fillId="5" borderId="11" xfId="1" applyFont="1" applyFill="1" applyBorder="1"/>
    <xf numFmtId="165" fontId="19" fillId="5" borderId="17" xfId="0" applyNumberFormat="1" applyFont="1" applyFill="1" applyBorder="1"/>
    <xf numFmtId="0" fontId="19" fillId="0" borderId="1" xfId="0" applyFont="1" applyBorder="1" applyAlignment="1">
      <alignment horizontal="center"/>
    </xf>
    <xf numFmtId="165" fontId="0" fillId="0" borderId="1" xfId="0" applyNumberFormat="1" applyBorder="1"/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wrapText="1"/>
    </xf>
    <xf numFmtId="0" fontId="29" fillId="9" borderId="1" xfId="0" applyFont="1" applyFill="1" applyBorder="1" applyAlignment="1">
      <alignment horizontal="center"/>
    </xf>
    <xf numFmtId="165" fontId="0" fillId="0" borderId="2" xfId="0" applyNumberFormat="1" applyBorder="1"/>
    <xf numFmtId="0" fontId="22" fillId="0" borderId="7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wrapText="1"/>
    </xf>
    <xf numFmtId="165" fontId="0" fillId="10" borderId="1" xfId="1" applyFont="1" applyFill="1" applyBorder="1" applyAlignment="1">
      <alignment wrapText="1"/>
    </xf>
    <xf numFmtId="14" fontId="0" fillId="10" borderId="1" xfId="0" applyNumberFormat="1" applyFill="1" applyBorder="1" applyAlignment="1">
      <alignment wrapText="1"/>
    </xf>
    <xf numFmtId="9" fontId="0" fillId="10" borderId="1" xfId="2" applyFont="1" applyFill="1" applyBorder="1" applyAlignment="1">
      <alignment wrapText="1"/>
    </xf>
    <xf numFmtId="165" fontId="0" fillId="10" borderId="1" xfId="1" applyFont="1" applyFill="1" applyBorder="1"/>
    <xf numFmtId="0" fontId="0" fillId="10" borderId="2" xfId="0" applyFill="1" applyBorder="1"/>
    <xf numFmtId="9" fontId="16" fillId="4" borderId="10" xfId="2" applyFont="1" applyFill="1" applyBorder="1"/>
    <xf numFmtId="165" fontId="0" fillId="10" borderId="2" xfId="1" applyFont="1" applyFill="1" applyBorder="1"/>
    <xf numFmtId="170" fontId="0" fillId="0" borderId="2" xfId="0" applyNumberFormat="1" applyBorder="1"/>
    <xf numFmtId="165" fontId="0" fillId="0" borderId="1" xfId="1" applyFont="1" applyFill="1" applyBorder="1"/>
    <xf numFmtId="0" fontId="0" fillId="0" borderId="13" xfId="0" applyBorder="1"/>
    <xf numFmtId="0" fontId="0" fillId="0" borderId="13" xfId="0" applyBorder="1" applyAlignment="1">
      <alignment wrapText="1"/>
    </xf>
    <xf numFmtId="165" fontId="0" fillId="0" borderId="13" xfId="1" applyFont="1" applyFill="1" applyBorder="1" applyAlignment="1">
      <alignment wrapText="1"/>
    </xf>
    <xf numFmtId="14" fontId="0" fillId="0" borderId="13" xfId="0" applyNumberFormat="1" applyBorder="1" applyAlignment="1">
      <alignment wrapText="1"/>
    </xf>
    <xf numFmtId="9" fontId="0" fillId="0" borderId="13" xfId="2" applyFont="1" applyFill="1" applyBorder="1" applyAlignment="1">
      <alignment wrapText="1"/>
    </xf>
    <xf numFmtId="165" fontId="0" fillId="0" borderId="13" xfId="1" applyFont="1" applyFill="1" applyBorder="1"/>
    <xf numFmtId="0" fontId="0" fillId="10" borderId="11" xfId="0" applyFill="1" applyBorder="1"/>
    <xf numFmtId="0" fontId="0" fillId="10" borderId="11" xfId="0" applyFill="1" applyBorder="1" applyAlignment="1">
      <alignment wrapText="1"/>
    </xf>
    <xf numFmtId="165" fontId="0" fillId="10" borderId="11" xfId="1" applyFont="1" applyFill="1" applyBorder="1" applyAlignment="1">
      <alignment wrapText="1"/>
    </xf>
    <xf numFmtId="14" fontId="0" fillId="10" borderId="11" xfId="0" applyNumberFormat="1" applyFill="1" applyBorder="1" applyAlignment="1">
      <alignment wrapText="1"/>
    </xf>
    <xf numFmtId="9" fontId="0" fillId="10" borderId="11" xfId="2" applyFont="1" applyFill="1" applyBorder="1" applyAlignment="1">
      <alignment wrapText="1"/>
    </xf>
    <xf numFmtId="165" fontId="0" fillId="10" borderId="11" xfId="1" applyFont="1" applyFill="1" applyBorder="1"/>
    <xf numFmtId="0" fontId="0" fillId="10" borderId="18" xfId="0" applyFill="1" applyBorder="1"/>
    <xf numFmtId="0" fontId="0" fillId="10" borderId="18" xfId="0" applyFill="1" applyBorder="1" applyAlignment="1">
      <alignment wrapText="1"/>
    </xf>
    <xf numFmtId="165" fontId="0" fillId="10" borderId="18" xfId="1" applyFont="1" applyFill="1" applyBorder="1" applyAlignment="1">
      <alignment wrapText="1"/>
    </xf>
    <xf numFmtId="14" fontId="0" fillId="10" borderId="18" xfId="0" applyNumberFormat="1" applyFill="1" applyBorder="1" applyAlignment="1">
      <alignment wrapText="1"/>
    </xf>
    <xf numFmtId="9" fontId="0" fillId="10" borderId="18" xfId="2" applyFont="1" applyFill="1" applyBorder="1" applyAlignment="1">
      <alignment wrapText="1"/>
    </xf>
    <xf numFmtId="165" fontId="0" fillId="10" borderId="18" xfId="1" applyFont="1" applyFill="1" applyBorder="1"/>
    <xf numFmtId="165" fontId="0" fillId="0" borderId="19" xfId="0" applyNumberFormat="1" applyBorder="1"/>
    <xf numFmtId="0" fontId="0" fillId="0" borderId="19" xfId="0" applyBorder="1"/>
    <xf numFmtId="0" fontId="0" fillId="10" borderId="19" xfId="0" applyFill="1" applyBorder="1"/>
    <xf numFmtId="165" fontId="0" fillId="10" borderId="1" xfId="0" applyNumberFormat="1" applyFill="1" applyBorder="1"/>
    <xf numFmtId="165" fontId="0" fillId="10" borderId="1" xfId="1" quotePrefix="1" applyFont="1" applyFill="1" applyBorder="1"/>
    <xf numFmtId="17" fontId="16" fillId="4" borderId="10" xfId="2" applyNumberFormat="1" applyFont="1" applyFill="1" applyBorder="1"/>
    <xf numFmtId="0" fontId="0" fillId="10" borderId="21" xfId="0" applyFill="1" applyBorder="1"/>
    <xf numFmtId="169" fontId="0" fillId="0" borderId="2" xfId="0" applyNumberFormat="1" applyBorder="1"/>
    <xf numFmtId="165" fontId="0" fillId="10" borderId="20" xfId="1" applyFont="1" applyFill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0" borderId="24" xfId="0" applyNumberFormat="1" applyBorder="1"/>
    <xf numFmtId="165" fontId="0" fillId="10" borderId="25" xfId="0" applyNumberFormat="1" applyFill="1" applyBorder="1"/>
    <xf numFmtId="165" fontId="0" fillId="10" borderId="26" xfId="0" applyNumberFormat="1" applyFill="1" applyBorder="1"/>
    <xf numFmtId="165" fontId="0" fillId="10" borderId="27" xfId="0" applyNumberFormat="1" applyFill="1" applyBorder="1"/>
    <xf numFmtId="165" fontId="0" fillId="0" borderId="0" xfId="0" applyNumberFormat="1"/>
    <xf numFmtId="0" fontId="0" fillId="0" borderId="11" xfId="0" applyBorder="1"/>
    <xf numFmtId="0" fontId="0" fillId="0" borderId="11" xfId="0" applyBorder="1" applyAlignment="1">
      <alignment wrapText="1"/>
    </xf>
    <xf numFmtId="0" fontId="0" fillId="10" borderId="13" xfId="0" applyFill="1" applyBorder="1" applyAlignment="1">
      <alignment wrapText="1"/>
    </xf>
    <xf numFmtId="165" fontId="0" fillId="10" borderId="13" xfId="1" applyFont="1" applyFill="1" applyBorder="1" applyAlignment="1">
      <alignment wrapText="1"/>
    </xf>
    <xf numFmtId="14" fontId="0" fillId="10" borderId="13" xfId="0" applyNumberFormat="1" applyFill="1" applyBorder="1" applyAlignment="1">
      <alignment wrapText="1"/>
    </xf>
    <xf numFmtId="9" fontId="0" fillId="10" borderId="13" xfId="2" applyFont="1" applyFill="1" applyBorder="1" applyAlignment="1">
      <alignment wrapText="1"/>
    </xf>
    <xf numFmtId="0" fontId="31" fillId="0" borderId="1" xfId="0" applyFont="1" applyBorder="1" applyAlignment="1">
      <alignment wrapText="1"/>
    </xf>
    <xf numFmtId="0" fontId="7" fillId="0" borderId="11" xfId="0" applyFont="1" applyBorder="1"/>
    <xf numFmtId="0" fontId="22" fillId="0" borderId="11" xfId="0" applyFont="1" applyBorder="1"/>
    <xf numFmtId="168" fontId="22" fillId="0" borderId="11" xfId="0" applyNumberFormat="1" applyFont="1" applyBorder="1"/>
    <xf numFmtId="0" fontId="22" fillId="0" borderId="28" xfId="0" applyFont="1" applyBorder="1"/>
    <xf numFmtId="0" fontId="22" fillId="0" borderId="29" xfId="0" applyFont="1" applyBorder="1" applyAlignment="1">
      <alignment horizontal="left"/>
    </xf>
    <xf numFmtId="0" fontId="22" fillId="0" borderId="30" xfId="0" applyFont="1" applyBorder="1" applyAlignment="1">
      <alignment horizontal="left"/>
    </xf>
    <xf numFmtId="0" fontId="22" fillId="0" borderId="31" xfId="0" applyFont="1" applyBorder="1" applyAlignment="1">
      <alignment horizontal="left"/>
    </xf>
    <xf numFmtId="0" fontId="14" fillId="3" borderId="13" xfId="0" applyFont="1" applyFill="1" applyBorder="1" applyAlignment="1">
      <alignment horizontal="center"/>
    </xf>
    <xf numFmtId="0" fontId="20" fillId="3" borderId="13" xfId="0" applyFont="1" applyFill="1" applyBorder="1"/>
    <xf numFmtId="3" fontId="20" fillId="3" borderId="13" xfId="0" applyNumberFormat="1" applyFont="1" applyFill="1" applyBorder="1"/>
    <xf numFmtId="167" fontId="20" fillId="3" borderId="13" xfId="0" applyNumberFormat="1" applyFont="1" applyFill="1" applyBorder="1"/>
    <xf numFmtId="3" fontId="22" fillId="0" borderId="11" xfId="0" applyNumberFormat="1" applyFont="1" applyBorder="1"/>
    <xf numFmtId="0" fontId="22" fillId="0" borderId="32" xfId="0" applyFont="1" applyBorder="1" applyAlignment="1">
      <alignment horizontal="left"/>
    </xf>
    <xf numFmtId="0" fontId="22" fillId="0" borderId="33" xfId="0" applyFont="1" applyBorder="1" applyAlignment="1">
      <alignment horizontal="left"/>
    </xf>
    <xf numFmtId="0" fontId="22" fillId="0" borderId="34" xfId="0" applyFont="1" applyBorder="1" applyAlignment="1">
      <alignment horizontal="left"/>
    </xf>
    <xf numFmtId="0" fontId="31" fillId="10" borderId="1" xfId="0" applyFont="1" applyFill="1" applyBorder="1" applyAlignment="1">
      <alignment wrapText="1"/>
    </xf>
    <xf numFmtId="0" fontId="31" fillId="10" borderId="11" xfId="0" applyFont="1" applyFill="1" applyBorder="1" applyAlignment="1">
      <alignment wrapText="1"/>
    </xf>
    <xf numFmtId="0" fontId="31" fillId="10" borderId="13" xfId="0" applyFont="1" applyFill="1" applyBorder="1" applyAlignment="1">
      <alignment wrapText="1"/>
    </xf>
    <xf numFmtId="165" fontId="22" fillId="0" borderId="1" xfId="1" applyFont="1" applyBorder="1"/>
    <xf numFmtId="3" fontId="7" fillId="0" borderId="1" xfId="0" applyNumberFormat="1" applyFont="1" applyBorder="1"/>
    <xf numFmtId="165" fontId="9" fillId="0" borderId="0" xfId="1" applyFont="1"/>
    <xf numFmtId="10" fontId="0" fillId="0" borderId="0" xfId="0" applyNumberFormat="1"/>
    <xf numFmtId="169" fontId="0" fillId="10" borderId="1" xfId="1" applyNumberFormat="1" applyFont="1" applyFill="1" applyBorder="1"/>
    <xf numFmtId="0" fontId="0" fillId="11" borderId="1" xfId="0" applyFill="1" applyBorder="1"/>
    <xf numFmtId="165" fontId="0" fillId="11" borderId="1" xfId="0" applyNumberFormat="1" applyFill="1" applyBorder="1"/>
    <xf numFmtId="0" fontId="0" fillId="12" borderId="1" xfId="0" applyFill="1" applyBorder="1"/>
    <xf numFmtId="165" fontId="0" fillId="12" borderId="1" xfId="0" applyNumberFormat="1" applyFill="1" applyBorder="1"/>
    <xf numFmtId="0" fontId="0" fillId="12" borderId="1" xfId="0" applyFill="1" applyBorder="1" applyAlignment="1">
      <alignment wrapText="1"/>
    </xf>
    <xf numFmtId="165" fontId="0" fillId="12" borderId="1" xfId="1" applyFont="1" applyFill="1" applyBorder="1" applyAlignment="1">
      <alignment wrapText="1"/>
    </xf>
    <xf numFmtId="9" fontId="0" fillId="12" borderId="1" xfId="2" applyFont="1" applyFill="1" applyBorder="1" applyAlignment="1">
      <alignment wrapText="1"/>
    </xf>
    <xf numFmtId="165" fontId="0" fillId="12" borderId="1" xfId="1" applyFont="1" applyFill="1" applyBorder="1"/>
    <xf numFmtId="0" fontId="0" fillId="13" borderId="1" xfId="0" applyFill="1" applyBorder="1" applyAlignment="1">
      <alignment wrapText="1"/>
    </xf>
    <xf numFmtId="0" fontId="31" fillId="12" borderId="1" xfId="0" applyFont="1" applyFill="1" applyBorder="1" applyAlignment="1">
      <alignment wrapText="1"/>
    </xf>
    <xf numFmtId="166" fontId="0" fillId="12" borderId="1" xfId="0" applyNumberForma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31" fillId="11" borderId="1" xfId="0" applyFont="1" applyFill="1" applyBorder="1" applyAlignment="1">
      <alignment wrapText="1"/>
    </xf>
    <xf numFmtId="165" fontId="0" fillId="11" borderId="1" xfId="1" applyFont="1" applyFill="1" applyBorder="1" applyAlignment="1">
      <alignment wrapText="1"/>
    </xf>
    <xf numFmtId="166" fontId="0" fillId="11" borderId="1" xfId="0" applyNumberFormat="1" applyFill="1" applyBorder="1" applyAlignment="1">
      <alignment wrapText="1"/>
    </xf>
    <xf numFmtId="9" fontId="0" fillId="11" borderId="1" xfId="2" applyFont="1" applyFill="1" applyBorder="1" applyAlignment="1">
      <alignment wrapText="1"/>
    </xf>
    <xf numFmtId="165" fontId="0" fillId="11" borderId="1" xfId="1" applyFont="1" applyFill="1" applyBorder="1"/>
    <xf numFmtId="169" fontId="0" fillId="0" borderId="7" xfId="0" applyNumberFormat="1" applyBorder="1"/>
    <xf numFmtId="165" fontId="0" fillId="10" borderId="3" xfId="1" applyFont="1" applyFill="1" applyBorder="1"/>
    <xf numFmtId="165" fontId="19" fillId="10" borderId="36" xfId="1" applyFont="1" applyFill="1" applyBorder="1"/>
    <xf numFmtId="166" fontId="0" fillId="10" borderId="1" xfId="0" applyNumberFormat="1" applyFill="1" applyBorder="1" applyAlignment="1">
      <alignment wrapText="1"/>
    </xf>
    <xf numFmtId="165" fontId="19" fillId="0" borderId="35" xfId="0" applyNumberFormat="1" applyFont="1" applyBorder="1"/>
    <xf numFmtId="165" fontId="0" fillId="0" borderId="7" xfId="0" applyNumberFormat="1" applyBorder="1"/>
    <xf numFmtId="165" fontId="0" fillId="6" borderId="1" xfId="1" applyFont="1" applyFill="1" applyBorder="1"/>
    <xf numFmtId="41" fontId="8" fillId="14" borderId="3" xfId="3" applyFont="1" applyFill="1" applyBorder="1" applyAlignment="1">
      <alignment horizontal="right" vertical="center" wrapText="1"/>
    </xf>
    <xf numFmtId="41" fontId="8" fillId="0" borderId="3" xfId="3" applyFont="1" applyFill="1" applyBorder="1" applyAlignment="1">
      <alignment horizontal="right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165" fontId="22" fillId="0" borderId="1" xfId="1" applyFont="1" applyFill="1" applyBorder="1"/>
    <xf numFmtId="0" fontId="22" fillId="0" borderId="3" xfId="0" applyFont="1" applyBorder="1" applyAlignment="1">
      <alignment horizontal="left"/>
    </xf>
    <xf numFmtId="0" fontId="22" fillId="0" borderId="37" xfId="0" applyFont="1" applyBorder="1" applyAlignment="1">
      <alignment horizontal="left"/>
    </xf>
    <xf numFmtId="0" fontId="22" fillId="0" borderId="38" xfId="0" applyFont="1" applyBorder="1" applyAlignment="1">
      <alignment horizontal="left"/>
    </xf>
    <xf numFmtId="3" fontId="22" fillId="14" borderId="1" xfId="0" applyNumberFormat="1" applyFont="1" applyFill="1" applyBorder="1"/>
    <xf numFmtId="0" fontId="22" fillId="14" borderId="1" xfId="0" applyFont="1" applyFill="1" applyBorder="1"/>
    <xf numFmtId="0" fontId="22" fillId="0" borderId="7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22" fillId="0" borderId="14" xfId="0" applyFont="1" applyBorder="1" applyAlignment="1">
      <alignment horizontal="left"/>
    </xf>
    <xf numFmtId="0" fontId="22" fillId="0" borderId="15" xfId="0" applyFont="1" applyBorder="1" applyAlignment="1">
      <alignment horizontal="left"/>
    </xf>
    <xf numFmtId="0" fontId="22" fillId="0" borderId="16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4" fillId="8" borderId="38" xfId="0" applyFont="1" applyFill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9" fontId="19" fillId="0" borderId="1" xfId="2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</cellXfs>
  <cellStyles count="4">
    <cellStyle name="Millares [0]" xfId="3" builtinId="6"/>
    <cellStyle name="Moneda [0]" xfId="1" builtinId="7"/>
    <cellStyle name="Normal" xfId="0" builtinId="0"/>
    <cellStyle name="Porcentaje" xfId="2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C6EFCE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Normativo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Panel!$B$5</c:f>
              <c:strCache>
                <c:ptCount val="1"/>
                <c:pt idx="0">
                  <c:v>Meta acumulada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Panel!$C$4:$O$4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Panel!$C$5:$O$5</c:f>
              <c:numCache>
                <c:formatCode>"$"#,##0;[Red]"$"\-#,##0</c:formatCode>
                <c:ptCount val="12"/>
                <c:pt idx="0">
                  <c:v>0</c:v>
                </c:pt>
                <c:pt idx="1">
                  <c:v>138</c:v>
                </c:pt>
                <c:pt idx="2">
                  <c:v>673</c:v>
                </c:pt>
                <c:pt idx="3">
                  <c:v>736.5</c:v>
                </c:pt>
                <c:pt idx="4">
                  <c:v>771.5</c:v>
                </c:pt>
                <c:pt idx="5">
                  <c:v>1081.0999999999999</c:v>
                </c:pt>
                <c:pt idx="6">
                  <c:v>1081.0999999999999</c:v>
                </c:pt>
                <c:pt idx="7">
                  <c:v>1081.0999999999999</c:v>
                </c:pt>
                <c:pt idx="8">
                  <c:v>2093.1</c:v>
                </c:pt>
                <c:pt idx="9">
                  <c:v>2513.1</c:v>
                </c:pt>
                <c:pt idx="10">
                  <c:v>2533.1</c:v>
                </c:pt>
                <c:pt idx="11">
                  <c:v>2533.1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3-9646-8D20-63F444DDB13A}"/>
            </c:ext>
          </c:extLst>
        </c:ser>
        <c:ser>
          <c:idx val="1"/>
          <c:order val="1"/>
          <c:tx>
            <c:strRef>
              <c:f>Panel!$B$7</c:f>
              <c:strCache>
                <c:ptCount val="1"/>
                <c:pt idx="0">
                  <c:v>OCs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Panel!$C$4:$O$4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Panel!$C$7:$O$7</c:f>
              <c:numCache>
                <c:formatCode>"$"#,##0;[Red]"$"\-#,##0</c:formatCode>
                <c:ptCount val="12"/>
                <c:pt idx="0">
                  <c:v>241.49099999999999</c:v>
                </c:pt>
                <c:pt idx="1">
                  <c:v>595.89100000000008</c:v>
                </c:pt>
                <c:pt idx="2">
                  <c:v>912.96100000000001</c:v>
                </c:pt>
                <c:pt idx="3">
                  <c:v>992.41499999999996</c:v>
                </c:pt>
                <c:pt idx="4">
                  <c:v>1482.877</c:v>
                </c:pt>
                <c:pt idx="5">
                  <c:v>1629.222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3-9646-8D20-63F444DDB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619104"/>
        <c:axId val="504757455"/>
      </c:lineChart>
      <c:catAx>
        <c:axId val="158261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4757455"/>
        <c:crosses val="autoZero"/>
        <c:auto val="1"/>
        <c:lblAlgn val="ctr"/>
        <c:lblOffset val="100"/>
        <c:noMultiLvlLbl val="0"/>
      </c:catAx>
      <c:valAx>
        <c:axId val="5047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261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Scadas y Sac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Panel!$B$11</c:f>
              <c:strCache>
                <c:ptCount val="1"/>
                <c:pt idx="0">
                  <c:v>Meta acumulada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Panel!$C$10:$O$10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Panel!$C$11:$O$11</c:f>
              <c:numCache>
                <c:formatCode>"$"#,##0;[Red]"$"\-#,##0</c:formatCode>
                <c:ptCount val="12"/>
                <c:pt idx="0">
                  <c:v>0</c:v>
                </c:pt>
                <c:pt idx="1">
                  <c:v>58</c:v>
                </c:pt>
                <c:pt idx="2">
                  <c:v>133</c:v>
                </c:pt>
                <c:pt idx="3">
                  <c:v>313.8</c:v>
                </c:pt>
                <c:pt idx="4">
                  <c:v>367.5</c:v>
                </c:pt>
                <c:pt idx="5">
                  <c:v>447.5</c:v>
                </c:pt>
                <c:pt idx="6">
                  <c:v>696.5</c:v>
                </c:pt>
                <c:pt idx="7">
                  <c:v>951.5</c:v>
                </c:pt>
                <c:pt idx="8">
                  <c:v>1019</c:v>
                </c:pt>
                <c:pt idx="9">
                  <c:v>1138.5</c:v>
                </c:pt>
                <c:pt idx="10">
                  <c:v>1303.5</c:v>
                </c:pt>
                <c:pt idx="11">
                  <c:v>1303.5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8-3344-A1A7-78402A94F8E3}"/>
            </c:ext>
          </c:extLst>
        </c:ser>
        <c:ser>
          <c:idx val="1"/>
          <c:order val="1"/>
          <c:tx>
            <c:strRef>
              <c:f>Panel!$B$13</c:f>
              <c:strCache>
                <c:ptCount val="1"/>
                <c:pt idx="0">
                  <c:v>OCs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Panel!$C$10:$O$10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Panel!$C$13:$O$13</c:f>
              <c:numCache>
                <c:formatCode>"$"#,##0;[Red]"$"\-#,##0</c:formatCode>
                <c:ptCount val="12"/>
                <c:pt idx="0">
                  <c:v>37.979999999999997</c:v>
                </c:pt>
                <c:pt idx="1">
                  <c:v>37.979999999999997</c:v>
                </c:pt>
                <c:pt idx="2">
                  <c:v>46.256</c:v>
                </c:pt>
                <c:pt idx="3">
                  <c:v>46.256</c:v>
                </c:pt>
                <c:pt idx="4">
                  <c:v>50.039000000000001</c:v>
                </c:pt>
                <c:pt idx="5">
                  <c:v>50.039000000000001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8-3344-A1A7-78402A94F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052224"/>
        <c:axId val="1795902240"/>
      </c:lineChart>
      <c:catAx>
        <c:axId val="179605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5902240"/>
        <c:crosses val="autoZero"/>
        <c:auto val="1"/>
        <c:lblAlgn val="ctr"/>
        <c:lblOffset val="100"/>
        <c:noMultiLvlLbl val="0"/>
      </c:catAx>
      <c:valAx>
        <c:axId val="179590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605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Panel!$B$17</c:f>
              <c:strCache>
                <c:ptCount val="1"/>
                <c:pt idx="0">
                  <c:v>Meta acumulada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Panel!$C$16:$O$16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Panel!$C$17:$O$17</c:f>
              <c:numCache>
                <c:formatCode>"$"#,##0;[Red]"$"\-#,##0</c:formatCode>
                <c:ptCount val="12"/>
                <c:pt idx="0">
                  <c:v>0</c:v>
                </c:pt>
                <c:pt idx="1">
                  <c:v>498.7</c:v>
                </c:pt>
                <c:pt idx="2">
                  <c:v>569.79999999999995</c:v>
                </c:pt>
                <c:pt idx="3">
                  <c:v>591.79999999999995</c:v>
                </c:pt>
                <c:pt idx="4">
                  <c:v>749.5</c:v>
                </c:pt>
                <c:pt idx="5">
                  <c:v>766.4</c:v>
                </c:pt>
                <c:pt idx="6">
                  <c:v>766.4</c:v>
                </c:pt>
                <c:pt idx="7">
                  <c:v>766.4</c:v>
                </c:pt>
                <c:pt idx="8">
                  <c:v>1221.4000000000001</c:v>
                </c:pt>
                <c:pt idx="9">
                  <c:v>1299.4000000000001</c:v>
                </c:pt>
                <c:pt idx="10">
                  <c:v>1326.9</c:v>
                </c:pt>
                <c:pt idx="11">
                  <c:v>1326.9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3-DF46-8E37-9CB39E8B090D}"/>
            </c:ext>
          </c:extLst>
        </c:ser>
        <c:ser>
          <c:idx val="1"/>
          <c:order val="1"/>
          <c:tx>
            <c:strRef>
              <c:f>Panel!$B$19</c:f>
              <c:strCache>
                <c:ptCount val="1"/>
                <c:pt idx="0">
                  <c:v>OCs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Panel!$C$16:$O$16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Panel!$C$19:$O$19</c:f>
              <c:numCache>
                <c:formatCode>"$"#,##0;[Red]"$"\-#,##0</c:formatCode>
                <c:ptCount val="12"/>
                <c:pt idx="0">
                  <c:v>13.339</c:v>
                </c:pt>
                <c:pt idx="1">
                  <c:v>132.63900000000001</c:v>
                </c:pt>
                <c:pt idx="2">
                  <c:v>132.63900000000001</c:v>
                </c:pt>
                <c:pt idx="3">
                  <c:v>132.63900000000001</c:v>
                </c:pt>
                <c:pt idx="4">
                  <c:v>174.21800000000002</c:v>
                </c:pt>
                <c:pt idx="5">
                  <c:v>227.07800000000003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3-DF46-8E37-9CB39E8B0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921583"/>
        <c:axId val="1905676447"/>
      </c:lineChart>
      <c:catAx>
        <c:axId val="151392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05676447"/>
        <c:crosses val="autoZero"/>
        <c:auto val="1"/>
        <c:lblAlgn val="ctr"/>
        <c:lblOffset val="100"/>
        <c:noMultiLvlLbl val="0"/>
      </c:catAx>
      <c:valAx>
        <c:axId val="19056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392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Procesos (Sistemas y Soluciones)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Panel!$B$23</c:f>
              <c:strCache>
                <c:ptCount val="1"/>
                <c:pt idx="0">
                  <c:v>Meta acumulada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Panel!$C$22:$O$22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Panel!$C$23:$O$23</c:f>
              <c:numCache>
                <c:formatCode>"$"#,##0;[Red]"$"\-#,##0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  <c:pt idx="8">
                  <c:v>150</c:v>
                </c:pt>
                <c:pt idx="9">
                  <c:v>750</c:v>
                </c:pt>
                <c:pt idx="10">
                  <c:v>900</c:v>
                </c:pt>
                <c:pt idx="1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40-9D48-AA4B-E4BC082C6A66}"/>
            </c:ext>
          </c:extLst>
        </c:ser>
        <c:ser>
          <c:idx val="1"/>
          <c:order val="1"/>
          <c:tx>
            <c:strRef>
              <c:f>Panel!$B$25</c:f>
              <c:strCache>
                <c:ptCount val="1"/>
                <c:pt idx="0">
                  <c:v>OCs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Panel!$C$22:$O$22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Panel!$C$25:$O$25</c:f>
              <c:numCache>
                <c:formatCode>"$"#,##0;[Red]"$"\-#,##0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40-9D48-AA4B-E4BC082C6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823824"/>
        <c:axId val="1161687088"/>
      </c:lineChart>
      <c:catAx>
        <c:axId val="177182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61687088"/>
        <c:crosses val="autoZero"/>
        <c:auto val="1"/>
        <c:lblAlgn val="ctr"/>
        <c:lblOffset val="100"/>
        <c:noMultiLvlLbl val="0"/>
      </c:catAx>
      <c:valAx>
        <c:axId val="11616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7182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Total</a:t>
            </a:r>
            <a:r>
              <a:rPr lang="es-MX" baseline="0"/>
              <a:t> Ventas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Panel!$B$50</c:f>
              <c:strCache>
                <c:ptCount val="1"/>
                <c:pt idx="0">
                  <c:v>Meta acumulada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Panel!$C$49:$O$49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Panel!$C$50:$O$50</c:f>
              <c:numCache>
                <c:formatCode>"$"#,##0;[Red]"$"\-#,##0</c:formatCode>
                <c:ptCount val="12"/>
                <c:pt idx="0">
                  <c:v>0</c:v>
                </c:pt>
                <c:pt idx="1">
                  <c:v>694.7</c:v>
                </c:pt>
                <c:pt idx="2">
                  <c:v>1375.8</c:v>
                </c:pt>
                <c:pt idx="3">
                  <c:v>1642.1</c:v>
                </c:pt>
                <c:pt idx="4">
                  <c:v>1888.5</c:v>
                </c:pt>
                <c:pt idx="5">
                  <c:v>2295</c:v>
                </c:pt>
                <c:pt idx="6">
                  <c:v>2544</c:v>
                </c:pt>
                <c:pt idx="7">
                  <c:v>2949</c:v>
                </c:pt>
                <c:pt idx="8">
                  <c:v>4483.5</c:v>
                </c:pt>
                <c:pt idx="9">
                  <c:v>5701</c:v>
                </c:pt>
                <c:pt idx="10">
                  <c:v>6063.5</c:v>
                </c:pt>
                <c:pt idx="11">
                  <c:v>6663.5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E-4B4A-B724-D9EDC03DBEFE}"/>
            </c:ext>
          </c:extLst>
        </c:ser>
        <c:ser>
          <c:idx val="1"/>
          <c:order val="1"/>
          <c:tx>
            <c:strRef>
              <c:f>Panel!$B$52</c:f>
              <c:strCache>
                <c:ptCount val="1"/>
                <c:pt idx="0">
                  <c:v>OCs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Panel!$C$49:$O$49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Panel!$C$52:$I$52</c:f>
              <c:numCache>
                <c:formatCode>"$"#,##0;[Red]"$"\-#,##0</c:formatCode>
                <c:ptCount val="6"/>
                <c:pt idx="0">
                  <c:v>292.81</c:v>
                </c:pt>
                <c:pt idx="1">
                  <c:v>766.5100000000001</c:v>
                </c:pt>
                <c:pt idx="2">
                  <c:v>1091.856</c:v>
                </c:pt>
                <c:pt idx="3">
                  <c:v>1171.31</c:v>
                </c:pt>
                <c:pt idx="4">
                  <c:v>1707.134</c:v>
                </c:pt>
                <c:pt idx="5">
                  <c:v>1906.3389999999999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E-4B4A-B724-D9EDC03D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99599"/>
        <c:axId val="1975114927"/>
      </c:lineChart>
      <c:catAx>
        <c:axId val="15929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75114927"/>
        <c:crosses val="autoZero"/>
        <c:auto val="1"/>
        <c:lblAlgn val="ctr"/>
        <c:lblOffset val="100"/>
        <c:noMultiLvlLbl val="0"/>
      </c:catAx>
      <c:valAx>
        <c:axId val="197511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29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19627</xdr:rowOff>
    </xdr:from>
    <xdr:to>
      <xdr:col>3</xdr:col>
      <xdr:colOff>80819</xdr:colOff>
      <xdr:row>47</xdr:row>
      <xdr:rowOff>15009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7CA3BD-49D4-92D6-6F53-CA34A9375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161638</xdr:colOff>
      <xdr:row>33</xdr:row>
      <xdr:rowOff>19627</xdr:rowOff>
    </xdr:from>
    <xdr:to>
      <xdr:col>8</xdr:col>
      <xdr:colOff>138546</xdr:colOff>
      <xdr:row>47</xdr:row>
      <xdr:rowOff>15009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8F4DA3-F879-DA8C-370D-C9C1D8F9D764}"/>
            </a:ext>
            <a:ext uri="{147F2762-F138-4A5C-976F-8EAC2B608ADB}">
              <a16:predDERef xmlns:a16="http://schemas.microsoft.com/office/drawing/2014/main" pred="{3B7CA3BD-49D4-92D6-6F53-CA34A9375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219368</xdr:colOff>
      <xdr:row>33</xdr:row>
      <xdr:rowOff>19627</xdr:rowOff>
    </xdr:from>
    <xdr:to>
      <xdr:col>12</xdr:col>
      <xdr:colOff>196272</xdr:colOff>
      <xdr:row>47</xdr:row>
      <xdr:rowOff>15009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E85A2F-EB37-6068-8220-B9F34B89D082}"/>
            </a:ext>
            <a:ext uri="{147F2762-F138-4A5C-976F-8EAC2B608ADB}">
              <a16:predDERef xmlns:a16="http://schemas.microsoft.com/office/drawing/2014/main" pred="{768F4DA3-F879-DA8C-370D-C9C1D8F9D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288636</xdr:colOff>
      <xdr:row>33</xdr:row>
      <xdr:rowOff>8082</xdr:rowOff>
    </xdr:from>
    <xdr:to>
      <xdr:col>16</xdr:col>
      <xdr:colOff>265546</xdr:colOff>
      <xdr:row>47</xdr:row>
      <xdr:rowOff>3464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F70CD10-2F54-07B5-1667-BC1539A087C8}"/>
            </a:ext>
            <a:ext uri="{147F2762-F138-4A5C-976F-8EAC2B608ADB}">
              <a16:predDERef xmlns:a16="http://schemas.microsoft.com/office/drawing/2014/main" pred="{A7E85A2F-EB37-6068-8220-B9F34B89D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219363</xdr:colOff>
      <xdr:row>54</xdr:row>
      <xdr:rowOff>8082</xdr:rowOff>
    </xdr:from>
    <xdr:to>
      <xdr:col>15</xdr:col>
      <xdr:colOff>11546</xdr:colOff>
      <xdr:row>73</xdr:row>
      <xdr:rowOff>115454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8D31CFD-0FC0-E5F3-7453-7127609A7ADF}"/>
            </a:ext>
            <a:ext uri="{147F2762-F138-4A5C-976F-8EAC2B608ADB}">
              <a16:predDERef xmlns:a16="http://schemas.microsoft.com/office/drawing/2014/main" pred="{8F70CD10-2F54-07B5-1667-BC1539A08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56"/>
  <sheetViews>
    <sheetView showGridLines="0" tabSelected="1" topLeftCell="A143" zoomScale="130" zoomScaleNormal="130" workbookViewId="0">
      <selection activeCell="H155" sqref="H155"/>
    </sheetView>
  </sheetViews>
  <sheetFormatPr defaultColWidth="8.85546875" defaultRowHeight="15"/>
  <cols>
    <col min="1" max="1" width="2.85546875" customWidth="1"/>
    <col min="2" max="2" width="37.7109375" bestFit="1" customWidth="1"/>
    <col min="3" max="4" width="15" customWidth="1"/>
    <col min="5" max="5" width="15.140625" hidden="1" customWidth="1"/>
    <col min="6" max="15" width="15" customWidth="1"/>
    <col min="16" max="16" width="13" customWidth="1"/>
  </cols>
  <sheetData>
    <row r="1" spans="2:16" ht="17.100000000000001">
      <c r="B1" s="38" t="s">
        <v>0</v>
      </c>
    </row>
    <row r="2" spans="2:16">
      <c r="B2" s="21" t="s">
        <v>1</v>
      </c>
      <c r="C2" s="47">
        <v>46210</v>
      </c>
    </row>
    <row r="4" spans="2:16" ht="15.95">
      <c r="B4" s="1" t="s">
        <v>2</v>
      </c>
      <c r="C4" s="2" t="s">
        <v>3</v>
      </c>
      <c r="D4" s="2" t="s">
        <v>4</v>
      </c>
      <c r="E4" s="2"/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3" t="s">
        <v>15</v>
      </c>
    </row>
    <row r="5" spans="2:16">
      <c r="B5" s="5" t="s">
        <v>16</v>
      </c>
      <c r="C5" s="6">
        <v>0</v>
      </c>
      <c r="D5" s="6">
        <f>C5+D6</f>
        <v>138</v>
      </c>
      <c r="E5" s="6"/>
      <c r="F5" s="6">
        <f>D5+F6</f>
        <v>673</v>
      </c>
      <c r="G5" s="6">
        <f t="shared" ref="G5:O5" si="0">F5+G6</f>
        <v>736.5</v>
      </c>
      <c r="H5" s="6">
        <f t="shared" si="0"/>
        <v>771.5</v>
      </c>
      <c r="I5" s="6">
        <f t="shared" si="0"/>
        <v>1081.0999999999999</v>
      </c>
      <c r="J5" s="6">
        <f t="shared" si="0"/>
        <v>1081.0999999999999</v>
      </c>
      <c r="K5" s="6">
        <f t="shared" si="0"/>
        <v>1081.0999999999999</v>
      </c>
      <c r="L5" s="6">
        <f t="shared" si="0"/>
        <v>2093.1</v>
      </c>
      <c r="M5" s="6">
        <f t="shared" si="0"/>
        <v>2513.1</v>
      </c>
      <c r="N5" s="6">
        <f t="shared" si="0"/>
        <v>2533.1</v>
      </c>
      <c r="O5" s="6">
        <f t="shared" si="0"/>
        <v>2533.1</v>
      </c>
      <c r="P5" s="7">
        <f>O5</f>
        <v>2533.1</v>
      </c>
    </row>
    <row r="6" spans="2:16">
      <c r="B6" s="5" t="s">
        <v>17</v>
      </c>
      <c r="C6" s="6">
        <v>0</v>
      </c>
      <c r="D6" s="6">
        <v>138</v>
      </c>
      <c r="E6" s="6"/>
      <c r="F6" s="6">
        <v>535</v>
      </c>
      <c r="G6" s="6">
        <v>63.5</v>
      </c>
      <c r="H6" s="6">
        <v>35</v>
      </c>
      <c r="I6" s="6">
        <v>309.60000000000002</v>
      </c>
      <c r="J6" s="6">
        <v>0</v>
      </c>
      <c r="K6" s="6">
        <v>0</v>
      </c>
      <c r="L6" s="6">
        <v>1012</v>
      </c>
      <c r="M6" s="6">
        <v>420</v>
      </c>
      <c r="N6" s="6">
        <v>20</v>
      </c>
      <c r="O6" s="6">
        <v>0</v>
      </c>
      <c r="P6" s="8">
        <f>SUM(C6:O6)</f>
        <v>2533.1</v>
      </c>
    </row>
    <row r="7" spans="2:16">
      <c r="B7" s="9" t="s">
        <v>18</v>
      </c>
      <c r="C7" s="57">
        <f>C8</f>
        <v>241.49099999999999</v>
      </c>
      <c r="D7" s="57">
        <f>C7+D8</f>
        <v>595.89100000000008</v>
      </c>
      <c r="E7" s="57"/>
      <c r="F7" s="57">
        <f>D7+F8</f>
        <v>912.96100000000001</v>
      </c>
      <c r="G7" s="57">
        <f>F7+G8</f>
        <v>992.41499999999996</v>
      </c>
      <c r="H7" s="57">
        <f>G7+H8</f>
        <v>1482.877</v>
      </c>
      <c r="I7" s="57">
        <f>H7+I8</f>
        <v>1629.222</v>
      </c>
      <c r="J7" s="10"/>
      <c r="K7" s="10"/>
      <c r="L7" s="10"/>
      <c r="M7" s="10"/>
      <c r="N7" s="10"/>
      <c r="O7" s="10"/>
      <c r="P7" s="11"/>
    </row>
    <row r="8" spans="2:16">
      <c r="B8" s="9" t="s">
        <v>19</v>
      </c>
      <c r="C8" s="57">
        <f>F79+F80+F81+F82+F84+F85+F86</f>
        <v>241.49099999999999</v>
      </c>
      <c r="D8" s="57">
        <f>(F89+F90+F92+F93+F94+F95)</f>
        <v>354.40000000000003</v>
      </c>
      <c r="E8" s="57"/>
      <c r="F8" s="57">
        <f>F97+F98+F100+F101+F102+F103+F104+F105+F106</f>
        <v>317.07</v>
      </c>
      <c r="G8" s="57">
        <f>F119</f>
        <v>79.453999999999994</v>
      </c>
      <c r="H8" s="57">
        <f>F121+F122+F124+F125+F126+F127+F129+F131+F132+F133+F134+F130</f>
        <v>490.46199999999999</v>
      </c>
      <c r="I8" s="57">
        <f>F137+F138+F139+F141+F143+F145</f>
        <v>146.345</v>
      </c>
      <c r="J8" s="10"/>
      <c r="K8" s="10"/>
      <c r="L8" s="10"/>
      <c r="M8" s="10"/>
      <c r="N8" s="10"/>
      <c r="O8" s="10"/>
      <c r="P8" s="11"/>
    </row>
    <row r="9" spans="2:16"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1"/>
    </row>
    <row r="10" spans="2:16" ht="15.95">
      <c r="B10" s="1" t="s">
        <v>20</v>
      </c>
      <c r="C10" s="2" t="s">
        <v>3</v>
      </c>
      <c r="D10" s="2" t="s">
        <v>4</v>
      </c>
      <c r="E10" s="2"/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2" t="s">
        <v>14</v>
      </c>
      <c r="P10" s="3" t="s">
        <v>15</v>
      </c>
    </row>
    <row r="11" spans="2:16">
      <c r="B11" s="5" t="s">
        <v>16</v>
      </c>
      <c r="C11" s="6">
        <v>0</v>
      </c>
      <c r="D11" s="6">
        <f>C11+D12</f>
        <v>58</v>
      </c>
      <c r="E11" s="6"/>
      <c r="F11" s="6">
        <f>D11+F12</f>
        <v>133</v>
      </c>
      <c r="G11" s="6">
        <f t="shared" ref="G11:O11" si="1">F11+G12</f>
        <v>313.8</v>
      </c>
      <c r="H11" s="6">
        <f t="shared" si="1"/>
        <v>367.5</v>
      </c>
      <c r="I11" s="6">
        <f t="shared" si="1"/>
        <v>447.5</v>
      </c>
      <c r="J11" s="6">
        <f t="shared" si="1"/>
        <v>696.5</v>
      </c>
      <c r="K11" s="6">
        <f t="shared" si="1"/>
        <v>951.5</v>
      </c>
      <c r="L11" s="6">
        <f t="shared" si="1"/>
        <v>1019</v>
      </c>
      <c r="M11" s="6">
        <f t="shared" si="1"/>
        <v>1138.5</v>
      </c>
      <c r="N11" s="6">
        <f t="shared" si="1"/>
        <v>1303.5</v>
      </c>
      <c r="O11" s="6">
        <f t="shared" si="1"/>
        <v>1303.5</v>
      </c>
      <c r="P11" s="7">
        <f>O11</f>
        <v>1303.5</v>
      </c>
    </row>
    <row r="12" spans="2:16">
      <c r="B12" s="5" t="s">
        <v>17</v>
      </c>
      <c r="C12" s="6">
        <v>0</v>
      </c>
      <c r="D12" s="6">
        <v>58</v>
      </c>
      <c r="E12" s="6"/>
      <c r="F12" s="6">
        <v>75</v>
      </c>
      <c r="G12" s="6">
        <v>180.8</v>
      </c>
      <c r="H12" s="6">
        <v>53.7</v>
      </c>
      <c r="I12" s="6">
        <v>80</v>
      </c>
      <c r="J12" s="6">
        <v>249</v>
      </c>
      <c r="K12" s="6">
        <v>255</v>
      </c>
      <c r="L12" s="6">
        <v>67.5</v>
      </c>
      <c r="M12" s="6">
        <v>119.5</v>
      </c>
      <c r="N12" s="6">
        <v>165</v>
      </c>
      <c r="O12" s="6">
        <v>0</v>
      </c>
      <c r="P12" s="8">
        <f>SUM(C12:O12)</f>
        <v>1303.5</v>
      </c>
    </row>
    <row r="13" spans="2:16">
      <c r="B13" s="9" t="s">
        <v>18</v>
      </c>
      <c r="C13" s="57">
        <f>C14</f>
        <v>37.979999999999997</v>
      </c>
      <c r="D13" s="57">
        <f>C13+D14</f>
        <v>37.979999999999997</v>
      </c>
      <c r="E13" s="57"/>
      <c r="F13" s="57">
        <f>D13+F14</f>
        <v>46.256</v>
      </c>
      <c r="G13" s="57">
        <f>F13+G14</f>
        <v>46.256</v>
      </c>
      <c r="H13" s="57">
        <f>G13+H14</f>
        <v>50.039000000000001</v>
      </c>
      <c r="I13" s="57">
        <f>H13+I14</f>
        <v>50.039000000000001</v>
      </c>
      <c r="J13" s="57"/>
      <c r="K13" s="57"/>
      <c r="L13" s="57"/>
      <c r="M13" s="57"/>
      <c r="N13" s="57"/>
      <c r="O13" s="57"/>
      <c r="P13" s="3"/>
    </row>
    <row r="14" spans="2:16">
      <c r="B14" s="9" t="s">
        <v>19</v>
      </c>
      <c r="C14" s="57">
        <f>F83</f>
        <v>37.979999999999997</v>
      </c>
      <c r="D14" s="57">
        <v>0</v>
      </c>
      <c r="E14" s="57"/>
      <c r="F14" s="57">
        <f>F99</f>
        <v>8.2759999999999998</v>
      </c>
      <c r="G14" s="57">
        <v>0</v>
      </c>
      <c r="H14" s="57">
        <f>F120</f>
        <v>3.7829999999999999</v>
      </c>
      <c r="I14" s="57">
        <v>0</v>
      </c>
      <c r="J14" s="57"/>
      <c r="K14" s="57"/>
      <c r="L14" s="57"/>
      <c r="M14" s="57"/>
      <c r="N14" s="57"/>
      <c r="O14" s="57"/>
      <c r="P14" s="11"/>
    </row>
    <row r="15" spans="2:16"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1"/>
    </row>
    <row r="16" spans="2:16" ht="15.95">
      <c r="B16" s="1" t="s">
        <v>21</v>
      </c>
      <c r="C16" s="2" t="s">
        <v>3</v>
      </c>
      <c r="D16" s="2" t="s">
        <v>4</v>
      </c>
      <c r="E16" s="2"/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  <c r="O16" s="2" t="s">
        <v>14</v>
      </c>
      <c r="P16" s="3" t="s">
        <v>15</v>
      </c>
    </row>
    <row r="17" spans="2:16">
      <c r="B17" s="5" t="s">
        <v>16</v>
      </c>
      <c r="C17" s="6">
        <v>0</v>
      </c>
      <c r="D17" s="6">
        <f>C17+D18</f>
        <v>498.7</v>
      </c>
      <c r="E17" s="6"/>
      <c r="F17" s="6">
        <f t="shared" ref="F17" si="2">D17+F18</f>
        <v>569.79999999999995</v>
      </c>
      <c r="G17" s="6">
        <f t="shared" ref="G17" si="3">F17+G18</f>
        <v>591.79999999999995</v>
      </c>
      <c r="H17" s="6">
        <f t="shared" ref="H17" si="4">G17+H18</f>
        <v>749.5</v>
      </c>
      <c r="I17" s="6">
        <f t="shared" ref="I17" si="5">H17+I18</f>
        <v>766.4</v>
      </c>
      <c r="J17" s="6">
        <f t="shared" ref="J17" si="6">I17+J18</f>
        <v>766.4</v>
      </c>
      <c r="K17" s="6">
        <f t="shared" ref="K17" si="7">J17+K18</f>
        <v>766.4</v>
      </c>
      <c r="L17" s="6">
        <f t="shared" ref="L17" si="8">K17+L18</f>
        <v>1221.4000000000001</v>
      </c>
      <c r="M17" s="6">
        <f t="shared" ref="M17" si="9">L17+M18</f>
        <v>1299.4000000000001</v>
      </c>
      <c r="N17" s="6">
        <f t="shared" ref="N17" si="10">M17+N18</f>
        <v>1326.9</v>
      </c>
      <c r="O17" s="6">
        <f t="shared" ref="O17" si="11">N17+O18</f>
        <v>1326.9</v>
      </c>
      <c r="P17" s="7">
        <f>O17</f>
        <v>1326.9</v>
      </c>
    </row>
    <row r="18" spans="2:16">
      <c r="B18" s="5" t="s">
        <v>17</v>
      </c>
      <c r="C18" s="6">
        <v>0</v>
      </c>
      <c r="D18" s="6">
        <v>498.7</v>
      </c>
      <c r="E18" s="6"/>
      <c r="F18" s="6">
        <v>71.099999999999994</v>
      </c>
      <c r="G18" s="6">
        <v>22</v>
      </c>
      <c r="H18" s="6">
        <v>157.69999999999999</v>
      </c>
      <c r="I18" s="6">
        <v>16.899999999999999</v>
      </c>
      <c r="J18" s="6">
        <v>0</v>
      </c>
      <c r="K18" s="6">
        <v>0</v>
      </c>
      <c r="L18" s="6">
        <v>455</v>
      </c>
      <c r="M18" s="6">
        <v>78</v>
      </c>
      <c r="N18" s="6">
        <v>27.5</v>
      </c>
      <c r="O18" s="6">
        <v>0</v>
      </c>
      <c r="P18" s="8">
        <f>SUM(C18:O18)</f>
        <v>1326.9</v>
      </c>
    </row>
    <row r="19" spans="2:16">
      <c r="B19" s="9" t="s">
        <v>18</v>
      </c>
      <c r="C19" s="57">
        <f>C20</f>
        <v>13.339</v>
      </c>
      <c r="D19" s="57">
        <f>C19+D20</f>
        <v>132.63900000000001</v>
      </c>
      <c r="E19" s="57"/>
      <c r="F19" s="57">
        <f>D19+F20</f>
        <v>132.63900000000001</v>
      </c>
      <c r="G19" s="57">
        <f>F19+G20</f>
        <v>132.63900000000001</v>
      </c>
      <c r="H19" s="57">
        <f>G19+H20</f>
        <v>174.21800000000002</v>
      </c>
      <c r="I19" s="57">
        <f>H19+I20</f>
        <v>227.07800000000003</v>
      </c>
      <c r="J19" s="57"/>
      <c r="K19" s="57"/>
      <c r="L19" s="57"/>
      <c r="M19" s="57"/>
      <c r="N19" s="57"/>
      <c r="O19" s="57"/>
      <c r="P19" s="3"/>
    </row>
    <row r="20" spans="2:16">
      <c r="B20" s="9" t="s">
        <v>19</v>
      </c>
      <c r="C20" s="57">
        <f>F78+F87</f>
        <v>13.339</v>
      </c>
      <c r="D20" s="57">
        <f>F91</f>
        <v>119.3</v>
      </c>
      <c r="E20" s="57"/>
      <c r="F20" s="57">
        <v>0</v>
      </c>
      <c r="G20" s="57">
        <v>0</v>
      </c>
      <c r="H20" s="57">
        <f>F123+F128+F135</f>
        <v>41.579000000000001</v>
      </c>
      <c r="I20" s="57">
        <f>F144+F146+F147+F148</f>
        <v>52.86</v>
      </c>
      <c r="J20" s="57"/>
      <c r="K20" s="57"/>
      <c r="L20" s="57"/>
      <c r="M20" s="57"/>
      <c r="N20" s="57"/>
      <c r="O20" s="57"/>
      <c r="P20" s="11"/>
    </row>
    <row r="21" spans="2:16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2:16" ht="15.95">
      <c r="B22" s="1" t="s">
        <v>22</v>
      </c>
      <c r="C22" s="2" t="s">
        <v>3</v>
      </c>
      <c r="D22" s="2" t="s">
        <v>4</v>
      </c>
      <c r="E22" s="2"/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3" t="s">
        <v>15</v>
      </c>
    </row>
    <row r="23" spans="2:16">
      <c r="B23" s="5" t="s">
        <v>16</v>
      </c>
      <c r="C23" s="6">
        <v>0</v>
      </c>
      <c r="D23" s="6">
        <f>C23+D24</f>
        <v>0</v>
      </c>
      <c r="E23" s="6"/>
      <c r="F23" s="6">
        <f t="shared" ref="F23" si="12">D23+F24</f>
        <v>0</v>
      </c>
      <c r="G23" s="6">
        <f t="shared" ref="G23" si="13">F23+G24</f>
        <v>0</v>
      </c>
      <c r="H23" s="6">
        <f t="shared" ref="H23" si="14">G23+H24</f>
        <v>0</v>
      </c>
      <c r="I23" s="6">
        <f t="shared" ref="I23" si="15">H23+I24</f>
        <v>0</v>
      </c>
      <c r="J23" s="6">
        <f t="shared" ref="J23" si="16">I23+J24</f>
        <v>0</v>
      </c>
      <c r="K23" s="6">
        <f t="shared" ref="K23" si="17">J23+K24</f>
        <v>150</v>
      </c>
      <c r="L23" s="6">
        <f t="shared" ref="L23" si="18">K23+L24</f>
        <v>150</v>
      </c>
      <c r="M23" s="6">
        <f t="shared" ref="M23" si="19">L23+M24</f>
        <v>750</v>
      </c>
      <c r="N23" s="6">
        <f t="shared" ref="N23" si="20">M23+N24</f>
        <v>900</v>
      </c>
      <c r="O23" s="6">
        <f t="shared" ref="O23" si="21">N23+O24</f>
        <v>1500</v>
      </c>
      <c r="P23" s="7">
        <f>O23</f>
        <v>1500</v>
      </c>
    </row>
    <row r="24" spans="2:16">
      <c r="B24" s="5" t="s">
        <v>17</v>
      </c>
      <c r="C24" s="6">
        <v>0</v>
      </c>
      <c r="D24" s="6">
        <v>0</v>
      </c>
      <c r="E24" s="6"/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150</v>
      </c>
      <c r="L24" s="6">
        <v>0</v>
      </c>
      <c r="M24" s="6">
        <v>600</v>
      </c>
      <c r="N24" s="6">
        <v>150</v>
      </c>
      <c r="O24" s="6">
        <v>600</v>
      </c>
      <c r="P24" s="8">
        <f>SUM(C24:O24)</f>
        <v>1500</v>
      </c>
    </row>
    <row r="25" spans="2:16">
      <c r="B25" s="9" t="s">
        <v>18</v>
      </c>
      <c r="C25" s="57">
        <v>0</v>
      </c>
      <c r="D25" s="57">
        <v>0</v>
      </c>
      <c r="E25" s="57"/>
      <c r="F25" s="57">
        <v>0</v>
      </c>
      <c r="G25" s="57">
        <v>0</v>
      </c>
      <c r="H25" s="57">
        <v>0</v>
      </c>
      <c r="I25" s="57">
        <v>0</v>
      </c>
      <c r="J25" s="57"/>
      <c r="K25" s="57"/>
      <c r="L25" s="57"/>
      <c r="M25" s="57"/>
      <c r="N25" s="57"/>
      <c r="O25" s="57"/>
      <c r="P25" s="19"/>
    </row>
    <row r="26" spans="2:16">
      <c r="B26" s="9" t="s">
        <v>19</v>
      </c>
      <c r="C26" s="57">
        <v>0</v>
      </c>
      <c r="D26" s="57">
        <v>0</v>
      </c>
      <c r="E26" s="57"/>
      <c r="F26" s="57">
        <v>0</v>
      </c>
      <c r="G26" s="57">
        <v>0</v>
      </c>
      <c r="H26" s="57">
        <v>0</v>
      </c>
      <c r="I26" s="57"/>
      <c r="J26" s="57"/>
      <c r="K26" s="57"/>
      <c r="L26" s="57"/>
      <c r="M26" s="57"/>
      <c r="N26" s="57"/>
      <c r="O26" s="57"/>
      <c r="P26" s="20"/>
    </row>
    <row r="27" spans="2:16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</row>
    <row r="28" spans="2:16" ht="15.95">
      <c r="B28" s="1" t="s">
        <v>23</v>
      </c>
      <c r="C28" s="2" t="s">
        <v>3</v>
      </c>
      <c r="D28" s="2" t="s">
        <v>4</v>
      </c>
      <c r="E28" s="2"/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2" t="s">
        <v>11</v>
      </c>
      <c r="M28" s="2" t="s">
        <v>12</v>
      </c>
      <c r="N28" s="2" t="s">
        <v>13</v>
      </c>
      <c r="O28" s="2" t="s">
        <v>14</v>
      </c>
      <c r="P28" s="3" t="s">
        <v>15</v>
      </c>
    </row>
    <row r="29" spans="2:16">
      <c r="B29" s="5" t="s">
        <v>16</v>
      </c>
      <c r="C29" s="6">
        <v>0</v>
      </c>
      <c r="D29" s="6">
        <f>C29+D30</f>
        <v>0</v>
      </c>
      <c r="E29" s="6"/>
      <c r="F29" s="6">
        <f t="shared" ref="F29" si="22">D29+F30</f>
        <v>0</v>
      </c>
      <c r="G29" s="6">
        <f t="shared" ref="G29:H29" si="23">F29+G30</f>
        <v>0</v>
      </c>
      <c r="H29" s="6">
        <f t="shared" si="23"/>
        <v>0</v>
      </c>
      <c r="I29" s="6">
        <f t="shared" ref="I29" si="24">H29+I30</f>
        <v>0</v>
      </c>
      <c r="J29" s="6">
        <f t="shared" ref="J29" si="25">I29+J30</f>
        <v>0</v>
      </c>
      <c r="K29" s="6">
        <f t="shared" ref="K29" si="26">J29+K30</f>
        <v>0</v>
      </c>
      <c r="L29" s="6">
        <f t="shared" ref="L29" si="27">K29+L30</f>
        <v>0</v>
      </c>
      <c r="M29" s="6">
        <f t="shared" ref="M29" si="28">L29+M30</f>
        <v>0</v>
      </c>
      <c r="N29" s="6">
        <f t="shared" ref="N29" si="29">M29+N30</f>
        <v>0</v>
      </c>
      <c r="O29" s="6">
        <f t="shared" ref="O29" si="30">N29+O30</f>
        <v>0</v>
      </c>
      <c r="P29" s="7">
        <f>O29</f>
        <v>0</v>
      </c>
    </row>
    <row r="30" spans="2:16">
      <c r="B30" s="5" t="s">
        <v>17</v>
      </c>
      <c r="C30" s="57">
        <v>0</v>
      </c>
      <c r="D30" s="57">
        <v>0</v>
      </c>
      <c r="E30" s="57"/>
      <c r="F30" s="57">
        <v>0</v>
      </c>
      <c r="G30" s="57">
        <v>0</v>
      </c>
      <c r="H30" s="57">
        <v>0</v>
      </c>
      <c r="I30" s="18"/>
      <c r="J30" s="18"/>
      <c r="K30" s="18"/>
      <c r="L30" s="18"/>
      <c r="M30" s="18"/>
      <c r="N30" s="18"/>
      <c r="O30" s="18"/>
      <c r="P30" s="8">
        <f>SUM(C30:O30)</f>
        <v>0</v>
      </c>
    </row>
    <row r="31" spans="2:16">
      <c r="B31" s="9" t="s">
        <v>18</v>
      </c>
      <c r="C31" s="57">
        <v>0</v>
      </c>
      <c r="D31" s="57">
        <v>0</v>
      </c>
      <c r="E31" s="57"/>
      <c r="F31" s="57">
        <v>0</v>
      </c>
      <c r="G31" s="57">
        <v>0</v>
      </c>
      <c r="H31" s="57">
        <v>0</v>
      </c>
      <c r="I31" s="10"/>
      <c r="J31" s="10"/>
      <c r="K31" s="10"/>
      <c r="L31" s="10"/>
      <c r="M31" s="10"/>
      <c r="N31" s="10"/>
      <c r="O31" s="10"/>
      <c r="P31" s="19"/>
    </row>
    <row r="32" spans="2:16">
      <c r="B32" s="9" t="s">
        <v>19</v>
      </c>
      <c r="C32" s="57">
        <v>0</v>
      </c>
      <c r="D32" s="57">
        <v>0</v>
      </c>
      <c r="E32" s="57"/>
      <c r="F32" s="57">
        <v>0</v>
      </c>
      <c r="G32" s="57">
        <v>0</v>
      </c>
      <c r="H32" s="57">
        <v>0</v>
      </c>
      <c r="I32" s="10"/>
      <c r="J32" s="10"/>
      <c r="K32" s="10"/>
      <c r="L32" s="10"/>
      <c r="M32" s="10"/>
      <c r="N32" s="14"/>
      <c r="O32" s="10"/>
      <c r="P32" s="20"/>
    </row>
    <row r="49" spans="2:16" ht="15.95">
      <c r="B49" s="1" t="s">
        <v>24</v>
      </c>
      <c r="C49" s="1" t="s">
        <v>3</v>
      </c>
      <c r="D49" s="1" t="s">
        <v>4</v>
      </c>
      <c r="E49" s="1"/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  <c r="N49" s="1" t="s">
        <v>13</v>
      </c>
      <c r="O49" s="1" t="s">
        <v>14</v>
      </c>
      <c r="P49" s="22" t="s">
        <v>15</v>
      </c>
    </row>
    <row r="50" spans="2:16">
      <c r="B50" s="5" t="s">
        <v>16</v>
      </c>
      <c r="C50" s="23">
        <f t="shared" ref="C50:O50" si="31">C5+C11+C17+C23</f>
        <v>0</v>
      </c>
      <c r="D50" s="23">
        <f t="shared" si="31"/>
        <v>694.7</v>
      </c>
      <c r="E50" s="23"/>
      <c r="F50" s="23">
        <f t="shared" si="31"/>
        <v>1375.8</v>
      </c>
      <c r="G50" s="23">
        <f t="shared" si="31"/>
        <v>1642.1</v>
      </c>
      <c r="H50" s="23">
        <f t="shared" si="31"/>
        <v>1888.5</v>
      </c>
      <c r="I50" s="23">
        <f t="shared" si="31"/>
        <v>2295</v>
      </c>
      <c r="J50" s="23">
        <f t="shared" si="31"/>
        <v>2544</v>
      </c>
      <c r="K50" s="23">
        <f t="shared" si="31"/>
        <v>2949</v>
      </c>
      <c r="L50" s="23">
        <f t="shared" si="31"/>
        <v>4483.5</v>
      </c>
      <c r="M50" s="23">
        <f t="shared" si="31"/>
        <v>5701</v>
      </c>
      <c r="N50" s="23">
        <f t="shared" si="31"/>
        <v>6063.5</v>
      </c>
      <c r="O50" s="23">
        <f t="shared" si="31"/>
        <v>6663.5</v>
      </c>
      <c r="P50" s="7">
        <v>6664</v>
      </c>
    </row>
    <row r="51" spans="2:16">
      <c r="B51" s="5" t="s">
        <v>17</v>
      </c>
      <c r="C51" s="23">
        <f t="shared" ref="C51:O51" si="32">C6+C12+C18+C24</f>
        <v>0</v>
      </c>
      <c r="D51" s="23">
        <f t="shared" si="32"/>
        <v>694.7</v>
      </c>
      <c r="E51" s="23"/>
      <c r="F51" s="23">
        <f t="shared" si="32"/>
        <v>681.1</v>
      </c>
      <c r="G51" s="23">
        <f t="shared" si="32"/>
        <v>266.3</v>
      </c>
      <c r="H51" s="23">
        <f t="shared" si="32"/>
        <v>246.39999999999998</v>
      </c>
      <c r="I51" s="23">
        <f t="shared" si="32"/>
        <v>406.5</v>
      </c>
      <c r="J51" s="23">
        <f t="shared" si="32"/>
        <v>249</v>
      </c>
      <c r="K51" s="23">
        <f t="shared" si="32"/>
        <v>405</v>
      </c>
      <c r="L51" s="23">
        <f t="shared" si="32"/>
        <v>1534.5</v>
      </c>
      <c r="M51" s="23">
        <f t="shared" si="32"/>
        <v>1217.5</v>
      </c>
      <c r="N51" s="23">
        <f t="shared" si="32"/>
        <v>362.5</v>
      </c>
      <c r="O51" s="23">
        <f t="shared" si="32"/>
        <v>600</v>
      </c>
      <c r="P51" s="20"/>
    </row>
    <row r="52" spans="2:16">
      <c r="B52" s="9" t="s">
        <v>18</v>
      </c>
      <c r="C52" s="23">
        <f t="shared" ref="C52:O52" si="33">C7+C13+C19+C25</f>
        <v>292.81</v>
      </c>
      <c r="D52" s="23">
        <f t="shared" si="33"/>
        <v>766.5100000000001</v>
      </c>
      <c r="E52" s="23"/>
      <c r="F52" s="23">
        <f t="shared" si="33"/>
        <v>1091.856</v>
      </c>
      <c r="G52" s="23">
        <f t="shared" si="33"/>
        <v>1171.31</v>
      </c>
      <c r="H52" s="23">
        <f t="shared" si="33"/>
        <v>1707.134</v>
      </c>
      <c r="I52" s="23">
        <f t="shared" si="33"/>
        <v>1906.3389999999999</v>
      </c>
      <c r="J52" s="23">
        <f t="shared" si="33"/>
        <v>0</v>
      </c>
      <c r="K52" s="23">
        <f t="shared" si="33"/>
        <v>0</v>
      </c>
      <c r="L52" s="23">
        <f t="shared" si="33"/>
        <v>0</v>
      </c>
      <c r="M52" s="23">
        <f t="shared" si="33"/>
        <v>0</v>
      </c>
      <c r="N52" s="23">
        <f t="shared" si="33"/>
        <v>0</v>
      </c>
      <c r="O52" s="23">
        <f t="shared" si="33"/>
        <v>0</v>
      </c>
      <c r="P52" s="19"/>
    </row>
    <row r="53" spans="2:16">
      <c r="B53" s="9" t="s">
        <v>19</v>
      </c>
      <c r="C53" s="23">
        <f t="shared" ref="C53:O53" si="34">C8+C14+C20+C26</f>
        <v>292.81</v>
      </c>
      <c r="D53" s="23">
        <f t="shared" si="34"/>
        <v>473.70000000000005</v>
      </c>
      <c r="E53" s="23"/>
      <c r="F53" s="23">
        <f t="shared" si="34"/>
        <v>325.346</v>
      </c>
      <c r="G53" s="23">
        <f t="shared" si="34"/>
        <v>79.453999999999994</v>
      </c>
      <c r="H53" s="23">
        <f t="shared" si="34"/>
        <v>535.82399999999996</v>
      </c>
      <c r="I53" s="23">
        <f t="shared" si="34"/>
        <v>199.20499999999998</v>
      </c>
      <c r="J53" s="23">
        <f t="shared" si="34"/>
        <v>0</v>
      </c>
      <c r="K53" s="23">
        <f t="shared" si="34"/>
        <v>0</v>
      </c>
      <c r="L53" s="23">
        <f t="shared" si="34"/>
        <v>0</v>
      </c>
      <c r="M53" s="23">
        <f t="shared" si="34"/>
        <v>0</v>
      </c>
      <c r="N53" s="23">
        <f t="shared" si="34"/>
        <v>0</v>
      </c>
      <c r="O53" s="23">
        <f t="shared" si="34"/>
        <v>0</v>
      </c>
      <c r="P53" s="20"/>
    </row>
    <row r="76" spans="2:17" ht="15.95">
      <c r="B76" s="24" t="s">
        <v>25</v>
      </c>
      <c r="C76" s="15"/>
      <c r="D76" s="15"/>
      <c r="E76" s="203">
        <v>40300</v>
      </c>
      <c r="F76" s="15"/>
      <c r="G76" s="15"/>
      <c r="H76" s="15"/>
      <c r="I76" s="15"/>
      <c r="J76" s="15"/>
      <c r="K76" s="15"/>
      <c r="L76" s="15"/>
    </row>
    <row r="77" spans="2:17" ht="15.95" customHeight="1">
      <c r="B77" s="25" t="s">
        <v>26</v>
      </c>
      <c r="C77" s="97" t="s">
        <v>27</v>
      </c>
      <c r="D77" s="97" t="s">
        <v>28</v>
      </c>
      <c r="E77" s="97"/>
      <c r="F77" s="97" t="s">
        <v>29</v>
      </c>
      <c r="G77" s="97" t="s">
        <v>30</v>
      </c>
      <c r="H77" s="97" t="s">
        <v>31</v>
      </c>
      <c r="I77" s="97" t="s">
        <v>32</v>
      </c>
      <c r="J77" s="97" t="s">
        <v>33</v>
      </c>
      <c r="K77" s="98" t="s">
        <v>34</v>
      </c>
      <c r="L77" s="246" t="s">
        <v>35</v>
      </c>
      <c r="M77" s="246"/>
      <c r="N77" s="246"/>
      <c r="O77" s="246"/>
    </row>
    <row r="78" spans="2:17">
      <c r="B78" s="9" t="s">
        <v>36</v>
      </c>
      <c r="C78" s="54" t="s">
        <v>37</v>
      </c>
      <c r="D78" s="54">
        <v>320</v>
      </c>
      <c r="E78" s="201"/>
      <c r="F78" s="55">
        <v>13.067</v>
      </c>
      <c r="G78" s="55">
        <v>6.22</v>
      </c>
      <c r="H78" s="55">
        <v>6.8470000000000004</v>
      </c>
      <c r="I78" s="55">
        <v>8.9740000000000002</v>
      </c>
      <c r="J78" s="55">
        <v>4.0919999999999996</v>
      </c>
      <c r="K78" s="56" t="s">
        <v>21</v>
      </c>
      <c r="L78" s="245" t="s">
        <v>38</v>
      </c>
      <c r="M78" s="245"/>
      <c r="N78" s="245"/>
      <c r="O78" s="245"/>
      <c r="Q78" s="101">
        <f>H78/F78</f>
        <v>0.52399173490472184</v>
      </c>
    </row>
    <row r="79" spans="2:17">
      <c r="B79" s="9" t="s">
        <v>39</v>
      </c>
      <c r="C79" s="54" t="s">
        <v>40</v>
      </c>
      <c r="D79" s="54">
        <v>2748</v>
      </c>
      <c r="E79" s="201"/>
      <c r="F79" s="55">
        <v>109.172</v>
      </c>
      <c r="G79" s="55">
        <v>73.659000000000006</v>
      </c>
      <c r="H79" s="55">
        <v>35.514000000000003</v>
      </c>
      <c r="I79" s="55">
        <v>84.850999999999999</v>
      </c>
      <c r="J79" s="55">
        <v>24.32</v>
      </c>
      <c r="K79" s="56" t="s">
        <v>2</v>
      </c>
      <c r="L79" s="245" t="s">
        <v>41</v>
      </c>
      <c r="M79" s="245"/>
      <c r="N79" s="245"/>
      <c r="O79" s="245"/>
      <c r="Q79" s="101">
        <f t="shared" ref="Q79:Q143" si="35">H79/F79</f>
        <v>0.32530319129447116</v>
      </c>
    </row>
    <row r="80" spans="2:17">
      <c r="B80" s="9" t="s">
        <v>42</v>
      </c>
      <c r="C80" s="54" t="s">
        <v>43</v>
      </c>
      <c r="D80" s="54">
        <v>1042</v>
      </c>
      <c r="E80" s="201"/>
      <c r="F80" s="55">
        <v>41.396999999999998</v>
      </c>
      <c r="G80" s="55">
        <v>24.995000000000001</v>
      </c>
      <c r="H80" s="55">
        <v>16.765000000000001</v>
      </c>
      <c r="I80" s="55">
        <v>30.268000000000001</v>
      </c>
      <c r="J80" s="55">
        <v>11.128</v>
      </c>
      <c r="K80" s="56" t="s">
        <v>2</v>
      </c>
      <c r="L80" s="245" t="s">
        <v>44</v>
      </c>
      <c r="M80" s="245"/>
      <c r="N80" s="245"/>
      <c r="O80" s="245"/>
      <c r="Q80" s="101">
        <f t="shared" si="35"/>
        <v>0.40498103727323237</v>
      </c>
    </row>
    <row r="81" spans="2:17">
      <c r="B81" s="9" t="s">
        <v>45</v>
      </c>
      <c r="C81" s="54" t="s">
        <v>46</v>
      </c>
      <c r="D81" s="54">
        <v>1718</v>
      </c>
      <c r="E81" s="201"/>
      <c r="F81" s="55">
        <v>69</v>
      </c>
      <c r="G81" s="55">
        <v>43.593000000000004</v>
      </c>
      <c r="H81" s="55">
        <v>25.54</v>
      </c>
      <c r="I81" s="55">
        <v>50.732999999999997</v>
      </c>
      <c r="J81" s="55">
        <v>17.518000000000001</v>
      </c>
      <c r="K81" s="56" t="s">
        <v>2</v>
      </c>
      <c r="L81" s="245" t="s">
        <v>47</v>
      </c>
      <c r="M81" s="245"/>
      <c r="N81" s="245"/>
      <c r="O81" s="245"/>
      <c r="Q81" s="101">
        <f t="shared" si="35"/>
        <v>0.37014492753623185</v>
      </c>
    </row>
    <row r="82" spans="2:17">
      <c r="B82" s="9" t="s">
        <v>48</v>
      </c>
      <c r="C82" s="54" t="s">
        <v>49</v>
      </c>
      <c r="D82" s="54">
        <v>35.799999999999997</v>
      </c>
      <c r="E82" s="201"/>
      <c r="F82" s="55">
        <v>1.4219999999999999</v>
      </c>
      <c r="G82" s="55">
        <v>0.78900000000000003</v>
      </c>
      <c r="H82" s="55">
        <v>0.63300000000000001</v>
      </c>
      <c r="I82" s="55">
        <v>0.84799999999999998</v>
      </c>
      <c r="J82" s="55">
        <v>0.57399999999999995</v>
      </c>
      <c r="K82" s="56" t="s">
        <v>2</v>
      </c>
      <c r="L82" s="245" t="s">
        <v>50</v>
      </c>
      <c r="M82" s="245"/>
      <c r="N82" s="245"/>
      <c r="O82" s="245"/>
      <c r="Q82" s="101">
        <f t="shared" si="35"/>
        <v>0.44514767932489452</v>
      </c>
    </row>
    <row r="83" spans="2:17">
      <c r="B83" s="9" t="s">
        <v>51</v>
      </c>
      <c r="C83" s="54" t="s">
        <v>52</v>
      </c>
      <c r="D83" s="54">
        <v>956</v>
      </c>
      <c r="E83" s="201"/>
      <c r="F83" s="55">
        <v>37.979999999999997</v>
      </c>
      <c r="G83" s="55">
        <v>12.605</v>
      </c>
      <c r="H83" s="55">
        <v>25.864000000000001</v>
      </c>
      <c r="I83" s="55">
        <v>24.536999999999999</v>
      </c>
      <c r="J83" s="55">
        <v>13.442</v>
      </c>
      <c r="K83" s="56" t="s">
        <v>53</v>
      </c>
      <c r="L83" s="245" t="s">
        <v>54</v>
      </c>
      <c r="M83" s="245"/>
      <c r="N83" s="245"/>
      <c r="O83" s="245"/>
      <c r="Q83" s="101">
        <f t="shared" si="35"/>
        <v>0.68098999473407062</v>
      </c>
    </row>
    <row r="84" spans="2:17">
      <c r="B84" s="9" t="s">
        <v>55</v>
      </c>
      <c r="C84" s="54" t="s">
        <v>56</v>
      </c>
      <c r="D84" s="54">
        <v>159</v>
      </c>
      <c r="E84" s="201"/>
      <c r="F84" s="55">
        <v>6.3170000000000002</v>
      </c>
      <c r="G84" s="55">
        <v>1.8779999999999999</v>
      </c>
      <c r="H84" s="55">
        <v>4.4390000000000001</v>
      </c>
      <c r="I84" s="55">
        <v>3.923</v>
      </c>
      <c r="J84" s="55">
        <v>2.3929999999999998</v>
      </c>
      <c r="K84" s="56" t="s">
        <v>2</v>
      </c>
      <c r="L84" s="245" t="s">
        <v>57</v>
      </c>
      <c r="M84" s="245"/>
      <c r="N84" s="245"/>
      <c r="O84" s="245"/>
      <c r="Q84" s="101">
        <f t="shared" si="35"/>
        <v>0.70270698116194397</v>
      </c>
    </row>
    <row r="85" spans="2:17">
      <c r="B85" s="9" t="s">
        <v>55</v>
      </c>
      <c r="C85" s="54" t="s">
        <v>58</v>
      </c>
      <c r="D85" s="54">
        <v>198</v>
      </c>
      <c r="E85" s="201"/>
      <c r="F85" s="55">
        <v>7.8659999999999997</v>
      </c>
      <c r="G85" s="55">
        <v>2.5979999999999999</v>
      </c>
      <c r="H85" s="55">
        <v>5.2679999999999998</v>
      </c>
      <c r="I85" s="55">
        <v>5.0389999999999997</v>
      </c>
      <c r="J85" s="55">
        <v>2.8260000000000001</v>
      </c>
      <c r="K85" s="56" t="s">
        <v>2</v>
      </c>
      <c r="L85" s="239" t="s">
        <v>59</v>
      </c>
      <c r="M85" s="240"/>
      <c r="N85" s="240"/>
      <c r="O85" s="241"/>
      <c r="Q85" s="101">
        <f t="shared" si="35"/>
        <v>0.66971777269260102</v>
      </c>
    </row>
    <row r="86" spans="2:17">
      <c r="B86" s="9" t="s">
        <v>60</v>
      </c>
      <c r="C86" s="54" t="s">
        <v>61</v>
      </c>
      <c r="D86" s="54">
        <v>159</v>
      </c>
      <c r="E86" s="201"/>
      <c r="F86" s="55">
        <v>6.3170000000000002</v>
      </c>
      <c r="G86" s="55">
        <v>2.145</v>
      </c>
      <c r="H86" s="55">
        <v>4.1719999999999997</v>
      </c>
      <c r="I86" s="55">
        <v>4.1890000000000001</v>
      </c>
      <c r="J86" s="55">
        <v>2.1259999999999999</v>
      </c>
      <c r="K86" s="56" t="s">
        <v>2</v>
      </c>
      <c r="L86" s="245" t="s">
        <v>62</v>
      </c>
      <c r="M86" s="245"/>
      <c r="N86" s="245"/>
      <c r="O86" s="245"/>
      <c r="Q86" s="101">
        <f t="shared" si="35"/>
        <v>0.66044008231755569</v>
      </c>
    </row>
    <row r="87" spans="2:17">
      <c r="B87" s="9" t="s">
        <v>63</v>
      </c>
      <c r="C87" s="54" t="s">
        <v>64</v>
      </c>
      <c r="D87" s="54">
        <v>7</v>
      </c>
      <c r="E87" s="201"/>
      <c r="F87" s="58">
        <v>0.27200000000000002</v>
      </c>
      <c r="G87" s="58">
        <v>0.19</v>
      </c>
      <c r="H87" s="55">
        <v>0.82</v>
      </c>
      <c r="I87" s="55">
        <v>0.20499999999999999</v>
      </c>
      <c r="J87" s="55">
        <v>0.66</v>
      </c>
      <c r="K87" s="56" t="s">
        <v>21</v>
      </c>
      <c r="L87" s="245" t="s">
        <v>65</v>
      </c>
      <c r="M87" s="245"/>
      <c r="N87" s="245"/>
      <c r="O87" s="245"/>
      <c r="Q87" s="101">
        <f t="shared" si="35"/>
        <v>3.0147058823529407</v>
      </c>
    </row>
    <row r="88" spans="2:17">
      <c r="B88" s="26" t="s">
        <v>66</v>
      </c>
      <c r="C88" s="48"/>
      <c r="D88" s="108">
        <f>SUM(D78:D87)</f>
        <v>7342.8</v>
      </c>
      <c r="E88" s="201">
        <f t="shared" ref="E88" si="36">D88*$E$76</f>
        <v>295914840</v>
      </c>
      <c r="F88" s="49">
        <f>SUM(F78:F87)</f>
        <v>292.81</v>
      </c>
      <c r="G88" s="49">
        <f t="shared" ref="G88:J88" si="37">SUM(G78:G87)</f>
        <v>168.672</v>
      </c>
      <c r="H88" s="49">
        <f t="shared" si="37"/>
        <v>125.86199999999999</v>
      </c>
      <c r="I88" s="49">
        <f t="shared" si="37"/>
        <v>213.56700000000001</v>
      </c>
      <c r="J88" s="49">
        <f t="shared" si="37"/>
        <v>79.078999999999994</v>
      </c>
      <c r="K88" s="48"/>
      <c r="L88" s="84"/>
      <c r="M88" s="85"/>
      <c r="N88" s="85"/>
      <c r="O88" s="86"/>
      <c r="Q88" s="101">
        <f t="shared" si="35"/>
        <v>0.42984187698507564</v>
      </c>
    </row>
    <row r="89" spans="2:17">
      <c r="B89" s="9" t="s">
        <v>67</v>
      </c>
      <c r="C89" s="54" t="s">
        <v>68</v>
      </c>
      <c r="D89" s="87">
        <v>1259</v>
      </c>
      <c r="E89" s="201"/>
      <c r="F89" s="55">
        <v>52</v>
      </c>
      <c r="G89" s="58">
        <v>28.4</v>
      </c>
      <c r="H89" s="55">
        <v>23.6</v>
      </c>
      <c r="I89" s="55">
        <v>36.5</v>
      </c>
      <c r="J89" s="55">
        <v>15.5</v>
      </c>
      <c r="K89" s="56" t="s">
        <v>2</v>
      </c>
      <c r="L89" s="245" t="s">
        <v>69</v>
      </c>
      <c r="M89" s="245"/>
      <c r="N89" s="245"/>
      <c r="O89" s="245"/>
      <c r="Q89" s="101">
        <f t="shared" si="35"/>
        <v>0.4538461538461539</v>
      </c>
    </row>
    <row r="90" spans="2:17">
      <c r="B90" s="9" t="s">
        <v>70</v>
      </c>
      <c r="C90" s="54" t="s">
        <v>71</v>
      </c>
      <c r="D90" s="87">
        <v>2451</v>
      </c>
      <c r="E90" s="201"/>
      <c r="F90" s="55">
        <v>97.3</v>
      </c>
      <c r="G90" s="58">
        <v>62.6</v>
      </c>
      <c r="H90" s="55">
        <v>35.700000000000003</v>
      </c>
      <c r="I90" s="55">
        <v>76.5</v>
      </c>
      <c r="J90" s="55">
        <v>21.9</v>
      </c>
      <c r="K90" s="56" t="s">
        <v>2</v>
      </c>
      <c r="L90" s="245" t="s">
        <v>72</v>
      </c>
      <c r="M90" s="245"/>
      <c r="N90" s="245"/>
      <c r="O90" s="245"/>
      <c r="Q90" s="101">
        <f t="shared" si="35"/>
        <v>0.36690647482014394</v>
      </c>
    </row>
    <row r="91" spans="2:17">
      <c r="B91" s="9" t="s">
        <v>36</v>
      </c>
      <c r="C91" s="54" t="s">
        <v>73</v>
      </c>
      <c r="D91" s="87">
        <v>2962</v>
      </c>
      <c r="E91" s="201"/>
      <c r="F91" s="55">
        <v>119.3</v>
      </c>
      <c r="G91" s="58">
        <v>61.6</v>
      </c>
      <c r="H91" s="55">
        <v>58.128</v>
      </c>
      <c r="I91" s="55">
        <v>89</v>
      </c>
      <c r="J91" s="55">
        <v>30.2</v>
      </c>
      <c r="K91" s="56" t="s">
        <v>21</v>
      </c>
      <c r="L91" s="245" t="s">
        <v>74</v>
      </c>
      <c r="M91" s="245"/>
      <c r="N91" s="245"/>
      <c r="O91" s="245"/>
      <c r="Q91" s="101">
        <f t="shared" si="35"/>
        <v>0.48724224643755243</v>
      </c>
    </row>
    <row r="92" spans="2:17">
      <c r="B92" s="9" t="s">
        <v>75</v>
      </c>
      <c r="C92" s="54" t="s">
        <v>76</v>
      </c>
      <c r="D92" s="87">
        <v>2353.3000000000002</v>
      </c>
      <c r="E92" s="201"/>
      <c r="F92" s="55">
        <v>93.4</v>
      </c>
      <c r="G92" s="58">
        <v>57.6</v>
      </c>
      <c r="H92" s="55">
        <v>37</v>
      </c>
      <c r="I92" s="55">
        <v>70</v>
      </c>
      <c r="J92" s="55">
        <v>23.9</v>
      </c>
      <c r="K92" s="56" t="s">
        <v>2</v>
      </c>
      <c r="L92" s="245"/>
      <c r="M92" s="245"/>
      <c r="N92" s="245"/>
      <c r="O92" s="245"/>
      <c r="Q92" s="101">
        <f t="shared" si="35"/>
        <v>0.39614561027837258</v>
      </c>
    </row>
    <row r="93" spans="2:17">
      <c r="B93" s="9" t="s">
        <v>77</v>
      </c>
      <c r="C93" s="54" t="s">
        <v>78</v>
      </c>
      <c r="D93" s="87">
        <v>2150</v>
      </c>
      <c r="E93" s="201"/>
      <c r="F93" s="55">
        <v>85.4</v>
      </c>
      <c r="G93" s="58">
        <v>46.9</v>
      </c>
      <c r="H93" s="55">
        <v>39.4</v>
      </c>
      <c r="I93" s="55">
        <v>52.4</v>
      </c>
      <c r="J93" s="55">
        <v>32.9</v>
      </c>
      <c r="K93" s="56" t="s">
        <v>2</v>
      </c>
      <c r="L93" s="245" t="s">
        <v>79</v>
      </c>
      <c r="M93" s="245"/>
      <c r="N93" s="245"/>
      <c r="O93" s="245"/>
      <c r="Q93" s="101">
        <f t="shared" si="35"/>
        <v>0.46135831381733017</v>
      </c>
    </row>
    <row r="94" spans="2:17">
      <c r="B94" s="9" t="s">
        <v>80</v>
      </c>
      <c r="C94" s="54" t="s">
        <v>81</v>
      </c>
      <c r="D94" s="54">
        <v>67</v>
      </c>
      <c r="E94" s="201"/>
      <c r="F94" s="55">
        <v>2.6</v>
      </c>
      <c r="G94" s="58">
        <v>1.3</v>
      </c>
      <c r="H94" s="55">
        <v>1.3</v>
      </c>
      <c r="I94" s="55">
        <v>2</v>
      </c>
      <c r="J94" s="55">
        <v>0.6</v>
      </c>
      <c r="K94" s="56" t="s">
        <v>2</v>
      </c>
      <c r="L94" s="245" t="s">
        <v>82</v>
      </c>
      <c r="M94" s="245"/>
      <c r="N94" s="245"/>
      <c r="O94" s="245"/>
      <c r="Q94" s="101">
        <f t="shared" si="35"/>
        <v>0.5</v>
      </c>
    </row>
    <row r="95" spans="2:17">
      <c r="B95" s="9" t="s">
        <v>83</v>
      </c>
      <c r="C95" s="54" t="s">
        <v>84</v>
      </c>
      <c r="D95" s="54">
        <v>598</v>
      </c>
      <c r="E95" s="201"/>
      <c r="F95" s="55">
        <v>23.7</v>
      </c>
      <c r="G95" s="58">
        <v>17.3</v>
      </c>
      <c r="H95" s="55">
        <v>6.4</v>
      </c>
      <c r="I95" s="55">
        <v>18.899999999999999</v>
      </c>
      <c r="J95" s="55">
        <v>4.7</v>
      </c>
      <c r="K95" s="56" t="s">
        <v>2</v>
      </c>
      <c r="L95" s="245" t="s">
        <v>85</v>
      </c>
      <c r="M95" s="245"/>
      <c r="N95" s="245"/>
      <c r="O95" s="245"/>
      <c r="Q95" s="101">
        <f t="shared" si="35"/>
        <v>0.27004219409282704</v>
      </c>
    </row>
    <row r="96" spans="2:17">
      <c r="B96" s="26" t="s">
        <v>86</v>
      </c>
      <c r="C96" s="48"/>
      <c r="D96" s="108">
        <f>SUM(D89:D95)</f>
        <v>11840.3</v>
      </c>
      <c r="E96" s="201">
        <f t="shared" ref="E96" si="38">D96*$E$76</f>
        <v>477164090</v>
      </c>
      <c r="F96" s="49">
        <f>SUM(F89:F95)</f>
        <v>473.7</v>
      </c>
      <c r="G96" s="49">
        <f t="shared" ref="G96:J96" si="39">SUM(G89:G95)</f>
        <v>275.7</v>
      </c>
      <c r="H96" s="49">
        <f t="shared" si="39"/>
        <v>201.52800000000002</v>
      </c>
      <c r="I96" s="49">
        <f t="shared" si="39"/>
        <v>345.29999999999995</v>
      </c>
      <c r="J96" s="49">
        <f t="shared" si="39"/>
        <v>129.69999999999999</v>
      </c>
      <c r="K96" s="48"/>
      <c r="L96" s="84"/>
      <c r="M96" s="85"/>
      <c r="N96" s="85"/>
      <c r="O96" s="86"/>
      <c r="Q96" s="101">
        <f t="shared" si="35"/>
        <v>0.42543381887270432</v>
      </c>
    </row>
    <row r="97" spans="2:17">
      <c r="B97" s="9" t="s">
        <v>87</v>
      </c>
      <c r="C97" s="54" t="s">
        <v>88</v>
      </c>
      <c r="D97" s="54">
        <v>460</v>
      </c>
      <c r="E97" s="201"/>
      <c r="F97" s="55">
        <v>17.5</v>
      </c>
      <c r="G97" s="58">
        <v>15.46</v>
      </c>
      <c r="H97" s="55">
        <v>1.875</v>
      </c>
      <c r="I97" s="55">
        <v>15.46</v>
      </c>
      <c r="J97" s="55">
        <v>1.875</v>
      </c>
      <c r="K97" s="56" t="s">
        <v>2</v>
      </c>
      <c r="L97" s="242" t="s">
        <v>89</v>
      </c>
      <c r="M97" s="243"/>
      <c r="N97" s="243"/>
      <c r="O97" s="244"/>
      <c r="Q97" s="101">
        <f t="shared" si="35"/>
        <v>0.10714285714285714</v>
      </c>
    </row>
    <row r="98" spans="2:17">
      <c r="B98" s="9" t="s">
        <v>42</v>
      </c>
      <c r="C98" s="54" t="s">
        <v>90</v>
      </c>
      <c r="D98" s="54">
        <v>99</v>
      </c>
      <c r="E98" s="201"/>
      <c r="F98" s="55">
        <v>3.9329999999999998</v>
      </c>
      <c r="G98" s="58">
        <v>2.73</v>
      </c>
      <c r="H98" s="55">
        <v>1.202</v>
      </c>
      <c r="I98" s="55">
        <v>3.2010000000000001</v>
      </c>
      <c r="J98" s="55">
        <v>0.73099999999999998</v>
      </c>
      <c r="K98" s="56" t="s">
        <v>2</v>
      </c>
      <c r="L98" s="239" t="s">
        <v>91</v>
      </c>
      <c r="M98" s="240"/>
      <c r="N98" s="240"/>
      <c r="O98" s="241"/>
      <c r="Q98" s="101">
        <f t="shared" si="35"/>
        <v>0.30561912026442917</v>
      </c>
    </row>
    <row r="99" spans="2:17">
      <c r="B99" s="9" t="s">
        <v>51</v>
      </c>
      <c r="C99" s="54" t="s">
        <v>92</v>
      </c>
      <c r="D99" s="54">
        <v>205</v>
      </c>
      <c r="E99" s="201"/>
      <c r="F99" s="55">
        <v>8.2759999999999998</v>
      </c>
      <c r="G99" s="58">
        <v>4.532</v>
      </c>
      <c r="H99" s="55">
        <v>3.7440000000000002</v>
      </c>
      <c r="I99" s="55">
        <v>6.8319999999999999</v>
      </c>
      <c r="J99" s="55">
        <v>1.4430000000000001</v>
      </c>
      <c r="K99" s="56" t="s">
        <v>53</v>
      </c>
      <c r="L99" s="239" t="s">
        <v>93</v>
      </c>
      <c r="M99" s="240"/>
      <c r="N99" s="240"/>
      <c r="O99" s="241"/>
      <c r="Q99" s="101">
        <f t="shared" si="35"/>
        <v>0.45239246012566459</v>
      </c>
    </row>
    <row r="100" spans="2:17">
      <c r="B100" s="9" t="s">
        <v>94</v>
      </c>
      <c r="C100" s="54" t="s">
        <v>95</v>
      </c>
      <c r="D100" s="54">
        <v>153</v>
      </c>
      <c r="E100" s="201"/>
      <c r="F100" s="55">
        <v>6.0780000000000003</v>
      </c>
      <c r="G100" s="58">
        <v>2.5030000000000001</v>
      </c>
      <c r="H100" s="55">
        <v>3.5760000000000001</v>
      </c>
      <c r="I100" s="55">
        <v>4.1369999999999996</v>
      </c>
      <c r="J100" s="55">
        <v>1.9419999999999999</v>
      </c>
      <c r="K100" s="56" t="s">
        <v>2</v>
      </c>
      <c r="L100" s="239" t="s">
        <v>96</v>
      </c>
      <c r="M100" s="240"/>
      <c r="N100" s="240"/>
      <c r="O100" s="241"/>
      <c r="Q100" s="101">
        <f t="shared" si="35"/>
        <v>0.58835143139190527</v>
      </c>
    </row>
    <row r="101" spans="2:17">
      <c r="B101" s="9" t="s">
        <v>97</v>
      </c>
      <c r="C101" s="54" t="s">
        <v>98</v>
      </c>
      <c r="D101" s="54">
        <v>806</v>
      </c>
      <c r="E101" s="201"/>
      <c r="F101" s="55">
        <v>32.021000000000001</v>
      </c>
      <c r="G101" s="58">
        <v>3.718</v>
      </c>
      <c r="H101" s="55">
        <v>28.303000000000001</v>
      </c>
      <c r="I101" s="55">
        <v>6.5229999999999997</v>
      </c>
      <c r="J101" s="55">
        <v>25.497</v>
      </c>
      <c r="K101" s="56" t="s">
        <v>2</v>
      </c>
      <c r="L101" s="239" t="s">
        <v>99</v>
      </c>
      <c r="M101" s="240"/>
      <c r="N101" s="240"/>
      <c r="O101" s="241"/>
      <c r="Q101" s="101">
        <f t="shared" si="35"/>
        <v>0.88388869804190995</v>
      </c>
    </row>
    <row r="102" spans="2:17">
      <c r="B102" s="9" t="s">
        <v>100</v>
      </c>
      <c r="C102" s="54" t="s">
        <v>101</v>
      </c>
      <c r="D102" s="54">
        <v>184</v>
      </c>
      <c r="E102" s="201"/>
      <c r="F102" s="55">
        <v>7.31</v>
      </c>
      <c r="G102" s="58">
        <v>4.0810000000000004</v>
      </c>
      <c r="H102" s="55">
        <v>3.2290000000000001</v>
      </c>
      <c r="I102" s="55">
        <v>4.6669999999999998</v>
      </c>
      <c r="J102" s="55">
        <v>2.6429999999999998</v>
      </c>
      <c r="K102" s="56" t="s">
        <v>2</v>
      </c>
      <c r="L102" s="239" t="s">
        <v>102</v>
      </c>
      <c r="M102" s="240"/>
      <c r="N102" s="240"/>
      <c r="O102" s="241"/>
      <c r="Q102" s="101">
        <f t="shared" si="35"/>
        <v>0.44172366621067033</v>
      </c>
    </row>
    <row r="103" spans="2:17">
      <c r="B103" s="9" t="s">
        <v>36</v>
      </c>
      <c r="C103" s="54" t="s">
        <v>103</v>
      </c>
      <c r="D103" s="87">
        <v>5223</v>
      </c>
      <c r="E103" s="201"/>
      <c r="F103" s="55">
        <v>208</v>
      </c>
      <c r="G103" s="55">
        <v>124.038</v>
      </c>
      <c r="H103" s="55">
        <v>98.24</v>
      </c>
      <c r="I103" s="55">
        <v>151.774</v>
      </c>
      <c r="J103" s="55">
        <v>70.504000000000005</v>
      </c>
      <c r="K103" s="56" t="s">
        <v>2</v>
      </c>
      <c r="L103" s="239" t="s">
        <v>104</v>
      </c>
      <c r="M103" s="240"/>
      <c r="N103" s="240"/>
      <c r="O103" s="241"/>
      <c r="Q103" s="101">
        <f t="shared" si="35"/>
        <v>0.47230769230769226</v>
      </c>
    </row>
    <row r="104" spans="2:17">
      <c r="B104" s="9" t="s">
        <v>105</v>
      </c>
      <c r="C104" s="54" t="s">
        <v>106</v>
      </c>
      <c r="D104" s="87">
        <v>200</v>
      </c>
      <c r="E104" s="201"/>
      <c r="F104" s="55">
        <v>8.3019999999999996</v>
      </c>
      <c r="G104" s="58">
        <v>4.6040000000000001</v>
      </c>
      <c r="H104" s="55">
        <v>3.698</v>
      </c>
      <c r="I104" s="55">
        <v>5.5759999999999996</v>
      </c>
      <c r="J104" s="55">
        <v>2.726</v>
      </c>
      <c r="K104" s="56" t="s">
        <v>2</v>
      </c>
      <c r="L104" s="239" t="s">
        <v>107</v>
      </c>
      <c r="M104" s="240"/>
      <c r="N104" s="240"/>
      <c r="O104" s="241"/>
      <c r="Q104" s="101">
        <f t="shared" si="35"/>
        <v>0.44543483497952302</v>
      </c>
    </row>
    <row r="105" spans="2:17">
      <c r="B105" s="9" t="s">
        <v>108</v>
      </c>
      <c r="C105" s="54" t="s">
        <v>109</v>
      </c>
      <c r="D105" s="87">
        <v>710</v>
      </c>
      <c r="E105" s="201"/>
      <c r="F105" s="55">
        <v>28.207000000000001</v>
      </c>
      <c r="G105" s="58">
        <v>15.478</v>
      </c>
      <c r="H105" s="55">
        <v>12.728999999999999</v>
      </c>
      <c r="I105" s="55">
        <v>20.664000000000001</v>
      </c>
      <c r="J105" s="55">
        <v>7.5430000000000001</v>
      </c>
      <c r="K105" s="56" t="s">
        <v>2</v>
      </c>
      <c r="L105" s="239" t="s">
        <v>110</v>
      </c>
      <c r="M105" s="240"/>
      <c r="N105" s="240"/>
      <c r="O105" s="241"/>
      <c r="Q105" s="101">
        <f t="shared" si="35"/>
        <v>0.45127096110894455</v>
      </c>
    </row>
    <row r="106" spans="2:17">
      <c r="B106" s="9" t="s">
        <v>111</v>
      </c>
      <c r="C106" s="54" t="s">
        <v>112</v>
      </c>
      <c r="D106" s="87">
        <v>143</v>
      </c>
      <c r="E106" s="201"/>
      <c r="F106" s="55">
        <v>5.7190000000000003</v>
      </c>
      <c r="G106" s="58">
        <v>3.68</v>
      </c>
      <c r="H106" s="55">
        <v>2.0390000000000001</v>
      </c>
      <c r="I106" s="55">
        <v>4.5039999999999996</v>
      </c>
      <c r="J106" s="55">
        <v>1.2150000000000001</v>
      </c>
      <c r="K106" s="56" t="s">
        <v>2</v>
      </c>
      <c r="L106" s="239" t="s">
        <v>113</v>
      </c>
      <c r="M106" s="240"/>
      <c r="N106" s="240"/>
      <c r="O106" s="241"/>
      <c r="Q106" s="101">
        <f t="shared" si="35"/>
        <v>0.35653086203881801</v>
      </c>
    </row>
    <row r="107" spans="2:17">
      <c r="B107" s="26" t="s">
        <v>114</v>
      </c>
      <c r="C107" s="48"/>
      <c r="D107" s="108">
        <f>SUM(D97:D106)</f>
        <v>8183</v>
      </c>
      <c r="E107" s="201">
        <f t="shared" ref="E107:E136" si="40">D107*$E$76</f>
        <v>329774900</v>
      </c>
      <c r="F107" s="49">
        <f>SUM(F97:F106)</f>
        <v>325.346</v>
      </c>
      <c r="G107" s="49">
        <f t="shared" ref="G107:J107" si="41">SUM(G97:G106)</f>
        <v>180.82400000000004</v>
      </c>
      <c r="H107" s="49">
        <f t="shared" si="41"/>
        <v>158.63499999999999</v>
      </c>
      <c r="I107" s="49">
        <f t="shared" si="41"/>
        <v>223.33799999999999</v>
      </c>
      <c r="J107" s="49">
        <f t="shared" si="41"/>
        <v>116.11900000000001</v>
      </c>
      <c r="K107" s="48"/>
      <c r="L107" s="84"/>
      <c r="M107" s="85"/>
      <c r="N107" s="85"/>
      <c r="O107" s="86"/>
      <c r="Q107" s="101">
        <f t="shared" si="35"/>
        <v>0.4875885979849145</v>
      </c>
    </row>
    <row r="108" spans="2:17">
      <c r="B108" s="9" t="s">
        <v>115</v>
      </c>
      <c r="C108" s="54" t="s">
        <v>116</v>
      </c>
      <c r="D108" s="238">
        <v>146</v>
      </c>
      <c r="E108" s="201"/>
      <c r="F108" s="58">
        <v>5.85</v>
      </c>
      <c r="G108" s="58">
        <v>2.6429999999999998</v>
      </c>
      <c r="H108" s="58">
        <v>3.2069999999999999</v>
      </c>
      <c r="I108" s="58">
        <v>3.3940000000000001</v>
      </c>
      <c r="J108" s="58">
        <v>2.456</v>
      </c>
      <c r="K108" s="56" t="s">
        <v>2</v>
      </c>
      <c r="L108" s="239" t="s">
        <v>117</v>
      </c>
      <c r="M108" s="240"/>
      <c r="N108" s="240"/>
      <c r="O108" s="241"/>
      <c r="Q108" s="101">
        <f t="shared" si="35"/>
        <v>0.54820512820512823</v>
      </c>
    </row>
    <row r="109" spans="2:17">
      <c r="B109" s="9" t="s">
        <v>105</v>
      </c>
      <c r="C109" s="54" t="s">
        <v>118</v>
      </c>
      <c r="D109" s="54">
        <v>316</v>
      </c>
      <c r="E109" s="201"/>
      <c r="F109" s="58">
        <v>12.324999999999999</v>
      </c>
      <c r="G109" s="58">
        <v>7.343</v>
      </c>
      <c r="H109" s="58">
        <v>4.9809999999999999</v>
      </c>
      <c r="I109" s="58">
        <v>8.0990000000000002</v>
      </c>
      <c r="J109" s="58">
        <v>4.2249999999999996</v>
      </c>
      <c r="K109" s="56" t="s">
        <v>2</v>
      </c>
      <c r="L109" s="128" t="s">
        <v>119</v>
      </c>
      <c r="M109" s="129"/>
      <c r="N109" s="129"/>
      <c r="O109" s="130"/>
      <c r="Q109" s="101">
        <f t="shared" si="35"/>
        <v>0.40413793103448276</v>
      </c>
    </row>
    <row r="110" spans="2:17">
      <c r="B110" s="9" t="s">
        <v>120</v>
      </c>
      <c r="C110" s="54" t="s">
        <v>121</v>
      </c>
      <c r="D110" s="54">
        <v>67</v>
      </c>
      <c r="E110" s="201"/>
      <c r="F110" s="58">
        <v>2.6960000000000002</v>
      </c>
      <c r="G110" s="58">
        <v>1.3520000000000001</v>
      </c>
      <c r="H110" s="58">
        <v>1.345</v>
      </c>
      <c r="I110" s="58">
        <v>2.1480000000000001</v>
      </c>
      <c r="J110" s="58">
        <v>0.54800000000000004</v>
      </c>
      <c r="K110" s="56" t="s">
        <v>2</v>
      </c>
      <c r="L110" s="128" t="s">
        <v>122</v>
      </c>
      <c r="M110" s="129"/>
      <c r="N110" s="129"/>
      <c r="O110" s="130"/>
      <c r="Q110" s="101">
        <f t="shared" si="35"/>
        <v>0.49888724035608306</v>
      </c>
    </row>
    <row r="111" spans="2:17">
      <c r="B111" s="9" t="s">
        <v>67</v>
      </c>
      <c r="C111" s="54" t="s">
        <v>123</v>
      </c>
      <c r="D111" s="54">
        <v>26</v>
      </c>
      <c r="E111" s="201"/>
      <c r="F111" s="58">
        <v>1.046</v>
      </c>
      <c r="G111" s="58">
        <v>1.3520000000000001</v>
      </c>
      <c r="H111" s="58">
        <v>-0.30499999999999999</v>
      </c>
      <c r="I111" s="58">
        <v>2.1480000000000001</v>
      </c>
      <c r="J111" s="58">
        <v>-1.101</v>
      </c>
      <c r="K111" s="56" t="s">
        <v>2</v>
      </c>
      <c r="L111" s="128" t="s">
        <v>124</v>
      </c>
      <c r="M111" s="129"/>
      <c r="N111" s="129"/>
      <c r="O111" s="130"/>
      <c r="Q111" s="101">
        <f t="shared" si="35"/>
        <v>-0.29158699808795407</v>
      </c>
    </row>
    <row r="112" spans="2:17">
      <c r="B112" s="9" t="s">
        <v>125</v>
      </c>
      <c r="C112" s="54" t="s">
        <v>126</v>
      </c>
      <c r="D112" s="54">
        <v>140</v>
      </c>
      <c r="E112" s="201"/>
      <c r="F112" s="58">
        <v>5.6340000000000003</v>
      </c>
      <c r="G112" s="58">
        <v>1.931</v>
      </c>
      <c r="H112" s="58">
        <v>3.7029999999999998</v>
      </c>
      <c r="I112" s="58">
        <v>3.871</v>
      </c>
      <c r="J112" s="58">
        <v>1.762</v>
      </c>
      <c r="K112" s="56" t="s">
        <v>2</v>
      </c>
      <c r="L112" s="128" t="s">
        <v>127</v>
      </c>
      <c r="M112" s="129"/>
      <c r="N112" s="129"/>
      <c r="O112" s="130"/>
      <c r="Q112" s="101">
        <f t="shared" si="35"/>
        <v>0.65725949591764277</v>
      </c>
    </row>
    <row r="113" spans="2:17">
      <c r="B113" s="9" t="s">
        <v>128</v>
      </c>
      <c r="C113" s="54" t="s">
        <v>129</v>
      </c>
      <c r="D113" s="54">
        <v>14</v>
      </c>
      <c r="E113" s="201"/>
      <c r="F113" s="58">
        <v>0.53600000000000003</v>
      </c>
      <c r="G113" s="58">
        <v>0.36499999999999999</v>
      </c>
      <c r="H113" s="58">
        <v>0.17</v>
      </c>
      <c r="I113" s="58">
        <v>0.41</v>
      </c>
      <c r="J113" s="58">
        <v>0.125</v>
      </c>
      <c r="K113" s="56" t="s">
        <v>2</v>
      </c>
      <c r="L113" s="128" t="s">
        <v>130</v>
      </c>
      <c r="M113" s="129"/>
      <c r="N113" s="129"/>
      <c r="O113" s="130"/>
      <c r="Q113" s="101">
        <f t="shared" si="35"/>
        <v>0.31716417910447764</v>
      </c>
    </row>
    <row r="114" spans="2:17">
      <c r="B114" s="9" t="s">
        <v>36</v>
      </c>
      <c r="C114" s="54" t="s">
        <v>131</v>
      </c>
      <c r="D114" s="54">
        <v>309</v>
      </c>
      <c r="E114" s="201"/>
      <c r="F114" s="58">
        <v>12.433999999999999</v>
      </c>
      <c r="G114" s="58">
        <v>10.45</v>
      </c>
      <c r="H114" s="58">
        <v>1.9850000000000001</v>
      </c>
      <c r="I114" s="58">
        <v>10.51</v>
      </c>
      <c r="J114" s="58">
        <v>1.925</v>
      </c>
      <c r="K114" s="56" t="s">
        <v>2</v>
      </c>
      <c r="L114" s="128" t="s">
        <v>132</v>
      </c>
      <c r="M114" s="129"/>
      <c r="N114" s="129"/>
      <c r="O114" s="130"/>
      <c r="Q114" s="101">
        <f t="shared" si="35"/>
        <v>0.1596429145890301</v>
      </c>
    </row>
    <row r="115" spans="2:17">
      <c r="B115" s="9" t="s">
        <v>133</v>
      </c>
      <c r="C115" s="54" t="s">
        <v>134</v>
      </c>
      <c r="D115" s="54">
        <v>239</v>
      </c>
      <c r="E115" s="201"/>
      <c r="F115" s="58">
        <v>9.6850000000000005</v>
      </c>
      <c r="G115" s="58">
        <v>5.5869999999999997</v>
      </c>
      <c r="H115" s="58">
        <v>4.0990000000000002</v>
      </c>
      <c r="I115" s="58">
        <v>7.6870000000000003</v>
      </c>
      <c r="J115" s="58">
        <v>1.9990000000000001</v>
      </c>
      <c r="K115" s="56" t="s">
        <v>2</v>
      </c>
      <c r="L115" s="128" t="s">
        <v>135</v>
      </c>
      <c r="M115" s="129"/>
      <c r="N115" s="129"/>
      <c r="O115" s="130"/>
      <c r="Q115" s="101">
        <f t="shared" si="35"/>
        <v>0.42323180175529168</v>
      </c>
    </row>
    <row r="116" spans="2:17">
      <c r="B116" s="9" t="s">
        <v>136</v>
      </c>
      <c r="C116" s="54" t="s">
        <v>137</v>
      </c>
      <c r="D116" s="54">
        <v>610</v>
      </c>
      <c r="E116" s="201"/>
      <c r="F116" s="58">
        <v>24.373999999999999</v>
      </c>
      <c r="G116" s="58">
        <v>20.792000000000002</v>
      </c>
      <c r="H116" s="58">
        <v>3.5819999999999999</v>
      </c>
      <c r="I116" s="58">
        <v>20.792000000000002</v>
      </c>
      <c r="J116" s="58">
        <v>3.5819999999999999</v>
      </c>
      <c r="K116" s="56" t="s">
        <v>2</v>
      </c>
      <c r="L116" s="128" t="s">
        <v>138</v>
      </c>
      <c r="M116" s="129"/>
      <c r="N116" s="129"/>
      <c r="O116" s="130"/>
      <c r="Q116" s="101">
        <f t="shared" si="35"/>
        <v>0.14695987527693444</v>
      </c>
    </row>
    <row r="117" spans="2:17">
      <c r="B117" s="9" t="s">
        <v>139</v>
      </c>
      <c r="C117" s="54" t="s">
        <v>140</v>
      </c>
      <c r="D117" s="54">
        <v>61</v>
      </c>
      <c r="E117" s="201"/>
      <c r="F117" s="58">
        <v>2.4369999999999998</v>
      </c>
      <c r="G117" s="58">
        <v>2.0790000000000002</v>
      </c>
      <c r="H117" s="58">
        <v>0.35799999999999998</v>
      </c>
      <c r="I117" s="58">
        <v>2.0790000000000002</v>
      </c>
      <c r="J117" s="58">
        <v>0.35799999999999998</v>
      </c>
      <c r="K117" s="56" t="s">
        <v>2</v>
      </c>
      <c r="L117" s="128" t="s">
        <v>141</v>
      </c>
      <c r="M117" s="129"/>
      <c r="N117" s="129"/>
      <c r="O117" s="130"/>
      <c r="Q117" s="101">
        <f t="shared" si="35"/>
        <v>0.14690192860073861</v>
      </c>
    </row>
    <row r="118" spans="2:17">
      <c r="B118" s="9" t="s">
        <v>142</v>
      </c>
      <c r="C118" s="54" t="s">
        <v>143</v>
      </c>
      <c r="D118" s="54">
        <v>61</v>
      </c>
      <c r="E118" s="201"/>
      <c r="F118" s="58">
        <v>2.4369999999999998</v>
      </c>
      <c r="G118" s="58">
        <v>2.0790000000000002</v>
      </c>
      <c r="H118" s="58">
        <v>0.35799999999999998</v>
      </c>
      <c r="I118" s="58">
        <v>2.0790000000000002</v>
      </c>
      <c r="J118" s="58">
        <v>0.35799999999999998</v>
      </c>
      <c r="K118" s="56" t="s">
        <v>2</v>
      </c>
      <c r="L118" s="128" t="s">
        <v>141</v>
      </c>
      <c r="M118" s="129"/>
      <c r="N118" s="129"/>
      <c r="O118" s="130"/>
      <c r="Q118" s="101">
        <f t="shared" si="35"/>
        <v>0.14690192860073861</v>
      </c>
    </row>
    <row r="119" spans="2:17">
      <c r="B119" s="26" t="s">
        <v>144</v>
      </c>
      <c r="C119" s="48"/>
      <c r="D119" s="108">
        <f t="shared" ref="D119:J119" si="42">SUM(D108:D118)</f>
        <v>1989</v>
      </c>
      <c r="E119" s="201">
        <f t="shared" si="40"/>
        <v>80156700</v>
      </c>
      <c r="F119" s="49">
        <f t="shared" si="42"/>
        <v>79.453999999999994</v>
      </c>
      <c r="G119" s="49">
        <f t="shared" si="42"/>
        <v>55.972999999999999</v>
      </c>
      <c r="H119" s="49">
        <f t="shared" si="42"/>
        <v>23.483000000000001</v>
      </c>
      <c r="I119" s="49">
        <f t="shared" si="42"/>
        <v>63.216999999999999</v>
      </c>
      <c r="J119" s="49">
        <f t="shared" si="42"/>
        <v>16.237000000000002</v>
      </c>
      <c r="K119" s="48"/>
      <c r="L119" s="84"/>
      <c r="M119" s="85"/>
      <c r="N119" s="85"/>
      <c r="O119" s="86"/>
      <c r="Q119" s="101">
        <f t="shared" si="35"/>
        <v>0.29555466055831048</v>
      </c>
    </row>
    <row r="120" spans="2:17">
      <c r="B120" s="9" t="s">
        <v>145</v>
      </c>
      <c r="C120" s="54" t="s">
        <v>146</v>
      </c>
      <c r="D120" s="54">
        <v>94</v>
      </c>
      <c r="E120" s="201"/>
      <c r="F120" s="58">
        <v>3.7829999999999999</v>
      </c>
      <c r="G120" s="58">
        <v>1.19</v>
      </c>
      <c r="H120" s="58">
        <v>2.593</v>
      </c>
      <c r="I120" s="58">
        <v>3.0750000000000002</v>
      </c>
      <c r="J120" s="58">
        <v>0.70799999999999996</v>
      </c>
      <c r="K120" s="56" t="s">
        <v>147</v>
      </c>
      <c r="L120" s="128" t="s">
        <v>148</v>
      </c>
      <c r="M120" s="129"/>
      <c r="N120" s="129"/>
      <c r="O120" s="130"/>
      <c r="Q120" s="101">
        <f t="shared" si="35"/>
        <v>0.68543484007401534</v>
      </c>
    </row>
    <row r="121" spans="2:17">
      <c r="B121" s="9" t="s">
        <v>149</v>
      </c>
      <c r="C121" s="54" t="s">
        <v>150</v>
      </c>
      <c r="D121" s="54">
        <v>242</v>
      </c>
      <c r="E121" s="201"/>
      <c r="F121" s="58">
        <v>9.4269999999999996</v>
      </c>
      <c r="G121" s="58">
        <v>5.5529999999999999</v>
      </c>
      <c r="H121" s="58">
        <v>3.8740000000000001</v>
      </c>
      <c r="I121" s="58">
        <v>7.1769999999999996</v>
      </c>
      <c r="J121" s="58">
        <v>2.25</v>
      </c>
      <c r="K121" s="56" t="s">
        <v>2</v>
      </c>
      <c r="L121" s="128" t="s">
        <v>151</v>
      </c>
      <c r="M121" s="129"/>
      <c r="N121" s="129"/>
      <c r="O121" s="130"/>
      <c r="Q121" s="101">
        <f t="shared" si="35"/>
        <v>0.41094727909196993</v>
      </c>
    </row>
    <row r="122" spans="2:17">
      <c r="B122" s="9" t="s">
        <v>152</v>
      </c>
      <c r="C122" s="54" t="s">
        <v>153</v>
      </c>
      <c r="D122" s="54">
        <v>75</v>
      </c>
      <c r="E122" s="201"/>
      <c r="F122" s="58">
        <v>3.0609999999999999</v>
      </c>
      <c r="G122" s="58">
        <v>3.9169999999999998</v>
      </c>
      <c r="H122" s="58">
        <v>-0.85699999999999998</v>
      </c>
      <c r="I122" s="58">
        <v>4.1890000000000001</v>
      </c>
      <c r="J122" s="58">
        <v>-1.1279999999999999</v>
      </c>
      <c r="K122" s="56" t="s">
        <v>2</v>
      </c>
      <c r="L122" s="128" t="s">
        <v>154</v>
      </c>
      <c r="M122" s="129"/>
      <c r="N122" s="129"/>
      <c r="O122" s="130"/>
      <c r="Q122" s="101">
        <f t="shared" si="35"/>
        <v>-0.27997386475008168</v>
      </c>
    </row>
    <row r="123" spans="2:17">
      <c r="B123" s="9" t="s">
        <v>155</v>
      </c>
      <c r="C123" s="54" t="s">
        <v>156</v>
      </c>
      <c r="D123" s="54">
        <v>722</v>
      </c>
      <c r="E123" s="201"/>
      <c r="F123" s="58">
        <v>29.053000000000001</v>
      </c>
      <c r="G123" s="58">
        <v>17.526</v>
      </c>
      <c r="H123" s="58">
        <v>11.526999999999999</v>
      </c>
      <c r="I123" s="58">
        <v>24.521999999999998</v>
      </c>
      <c r="J123" s="58">
        <v>4.5309999999999997</v>
      </c>
      <c r="K123" s="56" t="s">
        <v>21</v>
      </c>
      <c r="L123" s="128" t="s">
        <v>157</v>
      </c>
      <c r="M123" s="129"/>
      <c r="N123" s="129"/>
      <c r="O123" s="130"/>
      <c r="Q123" s="101">
        <f t="shared" si="35"/>
        <v>0.39675764981241174</v>
      </c>
    </row>
    <row r="124" spans="2:17">
      <c r="B124" s="9" t="s">
        <v>105</v>
      </c>
      <c r="C124" s="54" t="s">
        <v>158</v>
      </c>
      <c r="D124" s="54">
        <v>110</v>
      </c>
      <c r="E124" s="201"/>
      <c r="F124" s="58">
        <v>4.4260000000000002</v>
      </c>
      <c r="G124" s="58">
        <v>2.3210000000000002</v>
      </c>
      <c r="H124" s="58">
        <v>2.1059999999999999</v>
      </c>
      <c r="I124" s="58">
        <v>3.3980000000000001</v>
      </c>
      <c r="J124" s="58">
        <v>1.028</v>
      </c>
      <c r="K124" s="56" t="s">
        <v>2</v>
      </c>
      <c r="L124" s="128" t="s">
        <v>159</v>
      </c>
      <c r="M124" s="129"/>
      <c r="N124" s="129"/>
      <c r="O124" s="130"/>
      <c r="Q124" s="101">
        <f t="shared" si="35"/>
        <v>0.4758246723904202</v>
      </c>
    </row>
    <row r="125" spans="2:17">
      <c r="B125" s="9" t="s">
        <v>160</v>
      </c>
      <c r="C125" s="54" t="s">
        <v>161</v>
      </c>
      <c r="D125" s="54">
        <v>721</v>
      </c>
      <c r="E125" s="201"/>
      <c r="F125" s="58">
        <v>29.2</v>
      </c>
      <c r="G125" s="58">
        <v>18.818999999999999</v>
      </c>
      <c r="H125" s="58">
        <v>12.689</v>
      </c>
      <c r="I125" s="58">
        <v>20.565000000000001</v>
      </c>
      <c r="J125" s="58">
        <v>10.943</v>
      </c>
      <c r="K125" s="56" t="s">
        <v>2</v>
      </c>
      <c r="L125" s="128" t="s">
        <v>162</v>
      </c>
      <c r="M125" s="129"/>
      <c r="N125" s="129"/>
      <c r="O125" s="130"/>
      <c r="Q125" s="101">
        <f t="shared" si="35"/>
        <v>0.43455479452054796</v>
      </c>
    </row>
    <row r="126" spans="2:17">
      <c r="B126" s="9" t="s">
        <v>163</v>
      </c>
      <c r="C126" s="54" t="s">
        <v>164</v>
      </c>
      <c r="D126" s="54">
        <v>38</v>
      </c>
      <c r="E126" s="201"/>
      <c r="F126" s="58">
        <v>1.5289999999999999</v>
      </c>
      <c r="G126" s="58">
        <v>1.034</v>
      </c>
      <c r="H126" s="58">
        <v>0.495</v>
      </c>
      <c r="I126" s="58">
        <v>1.2210000000000001</v>
      </c>
      <c r="J126" s="58">
        <v>0.308</v>
      </c>
      <c r="K126" s="56" t="s">
        <v>2</v>
      </c>
      <c r="L126" s="128" t="s">
        <v>165</v>
      </c>
      <c r="M126" s="129"/>
      <c r="N126" s="129"/>
      <c r="O126" s="130"/>
      <c r="Q126" s="101">
        <f t="shared" si="35"/>
        <v>0.32374100719424465</v>
      </c>
    </row>
    <row r="127" spans="2:17">
      <c r="B127" s="9" t="s">
        <v>166</v>
      </c>
      <c r="C127" s="54" t="s">
        <v>167</v>
      </c>
      <c r="D127" s="54">
        <v>38</v>
      </c>
      <c r="E127" s="201"/>
      <c r="F127" s="58">
        <v>1.5289999999999999</v>
      </c>
      <c r="G127" s="58">
        <v>1.034</v>
      </c>
      <c r="H127" s="58">
        <v>0.495</v>
      </c>
      <c r="I127" s="58">
        <v>1.2210000000000001</v>
      </c>
      <c r="J127" s="58">
        <v>0.308</v>
      </c>
      <c r="K127" s="56" t="s">
        <v>2</v>
      </c>
      <c r="L127" s="128" t="s">
        <v>168</v>
      </c>
      <c r="M127" s="129"/>
      <c r="N127" s="129"/>
      <c r="O127" s="130"/>
      <c r="Q127" s="101">
        <f t="shared" si="35"/>
        <v>0.32374100719424465</v>
      </c>
    </row>
    <row r="128" spans="2:17">
      <c r="B128" s="9" t="s">
        <v>169</v>
      </c>
      <c r="C128" s="54" t="s">
        <v>170</v>
      </c>
      <c r="D128" s="54">
        <v>72</v>
      </c>
      <c r="E128" s="201"/>
      <c r="F128" s="58">
        <v>2.895</v>
      </c>
      <c r="G128" s="58">
        <v>2.1509999999999998</v>
      </c>
      <c r="H128" s="58">
        <v>0.74399999999999999</v>
      </c>
      <c r="I128" s="58">
        <v>2.1970000000000001</v>
      </c>
      <c r="J128" s="58">
        <v>0.69799999999999995</v>
      </c>
      <c r="K128" s="56" t="s">
        <v>21</v>
      </c>
      <c r="L128" s="128" t="s">
        <v>171</v>
      </c>
      <c r="M128" s="129"/>
      <c r="N128" s="129"/>
      <c r="O128" s="130"/>
      <c r="Q128" s="101">
        <f t="shared" si="35"/>
        <v>0.25699481865284973</v>
      </c>
    </row>
    <row r="129" spans="2:17">
      <c r="B129" s="9" t="s">
        <v>172</v>
      </c>
      <c r="C129" s="54" t="s">
        <v>173</v>
      </c>
      <c r="D129" s="237">
        <v>3116</v>
      </c>
      <c r="E129" s="201"/>
      <c r="F129" s="58">
        <v>126.071</v>
      </c>
      <c r="G129" s="58">
        <v>98.296999999999997</v>
      </c>
      <c r="H129" s="58">
        <v>27.774000000000001</v>
      </c>
      <c r="I129" s="58">
        <v>98.697999999999993</v>
      </c>
      <c r="J129" s="58">
        <v>27.373000000000001</v>
      </c>
      <c r="K129" s="56" t="s">
        <v>2</v>
      </c>
      <c r="L129" s="128" t="s">
        <v>174</v>
      </c>
      <c r="M129" s="129"/>
      <c r="N129" s="129"/>
      <c r="O129" s="130"/>
      <c r="Q129" s="101">
        <f t="shared" si="35"/>
        <v>0.22030443162979593</v>
      </c>
    </row>
    <row r="130" spans="2:17">
      <c r="B130" s="9" t="s">
        <v>175</v>
      </c>
      <c r="C130" s="54" t="s">
        <v>176</v>
      </c>
      <c r="D130" s="87">
        <v>1051</v>
      </c>
      <c r="E130" s="201"/>
      <c r="F130" s="58">
        <v>42.292000000000002</v>
      </c>
      <c r="G130" s="58">
        <v>27.146000000000001</v>
      </c>
      <c r="H130" s="58">
        <v>15.146000000000001</v>
      </c>
      <c r="I130" s="58">
        <v>32.26</v>
      </c>
      <c r="J130" s="58">
        <v>10.032</v>
      </c>
      <c r="K130" s="56" t="s">
        <v>2</v>
      </c>
      <c r="L130" s="128" t="s">
        <v>177</v>
      </c>
      <c r="M130" s="129"/>
      <c r="N130" s="129"/>
      <c r="O130" s="130"/>
      <c r="Q130" s="101">
        <f t="shared" si="35"/>
        <v>0.35812919701125506</v>
      </c>
    </row>
    <row r="131" spans="2:17">
      <c r="B131" s="9" t="s">
        <v>178</v>
      </c>
      <c r="C131" s="54" t="s">
        <v>179</v>
      </c>
      <c r="D131" s="87">
        <v>1829</v>
      </c>
      <c r="E131" s="201"/>
      <c r="F131" s="58">
        <v>73.152000000000001</v>
      </c>
      <c r="G131" s="58">
        <v>56.164999999999999</v>
      </c>
      <c r="H131" s="58">
        <v>16.986999999999998</v>
      </c>
      <c r="I131" s="58">
        <v>60.533000000000001</v>
      </c>
      <c r="J131" s="58">
        <v>12.619</v>
      </c>
      <c r="K131" s="56" t="s">
        <v>2</v>
      </c>
      <c r="L131" s="128" t="s">
        <v>180</v>
      </c>
      <c r="M131" s="129"/>
      <c r="N131" s="129"/>
      <c r="O131" s="130"/>
      <c r="Q131" s="101">
        <f t="shared" si="35"/>
        <v>0.23221511373578299</v>
      </c>
    </row>
    <row r="132" spans="2:17">
      <c r="B132" s="9" t="s">
        <v>105</v>
      </c>
      <c r="C132" s="54" t="s">
        <v>181</v>
      </c>
      <c r="D132" s="87">
        <v>2953</v>
      </c>
      <c r="E132" s="201"/>
      <c r="F132" s="58">
        <v>119.59</v>
      </c>
      <c r="G132" s="58">
        <v>71.385999999999996</v>
      </c>
      <c r="H132" s="58">
        <v>48.204000000000001</v>
      </c>
      <c r="I132" s="58">
        <v>92.561000000000007</v>
      </c>
      <c r="J132" s="58">
        <v>27.029</v>
      </c>
      <c r="K132" s="56" t="s">
        <v>2</v>
      </c>
      <c r="L132" s="128" t="s">
        <v>182</v>
      </c>
      <c r="M132" s="129"/>
      <c r="N132" s="129"/>
      <c r="O132" s="130"/>
      <c r="Q132" s="101">
        <f t="shared" si="35"/>
        <v>0.40307718036625134</v>
      </c>
    </row>
    <row r="133" spans="2:17">
      <c r="B133" s="183" t="s">
        <v>172</v>
      </c>
      <c r="C133" s="184" t="s">
        <v>183</v>
      </c>
      <c r="D133" s="194">
        <v>680</v>
      </c>
      <c r="E133" s="201"/>
      <c r="F133" s="185">
        <v>27.363</v>
      </c>
      <c r="G133" s="185">
        <v>10.301</v>
      </c>
      <c r="H133" s="185">
        <v>17.062000000000001</v>
      </c>
      <c r="I133" s="185">
        <v>16.736000000000001</v>
      </c>
      <c r="J133" s="185">
        <v>10.627000000000001</v>
      </c>
      <c r="K133" s="186" t="s">
        <v>2</v>
      </c>
      <c r="L133" s="187" t="s">
        <v>184</v>
      </c>
      <c r="M133" s="188"/>
      <c r="N133" s="188"/>
      <c r="O133" s="189"/>
      <c r="Q133" s="101">
        <f t="shared" si="35"/>
        <v>0.62354274019661593</v>
      </c>
    </row>
    <row r="134" spans="2:17">
      <c r="B134" s="9" t="s">
        <v>160</v>
      </c>
      <c r="C134" s="54" t="s">
        <v>185</v>
      </c>
      <c r="D134" s="87">
        <v>1305</v>
      </c>
      <c r="E134" s="201"/>
      <c r="F134" s="58">
        <v>52.822000000000003</v>
      </c>
      <c r="G134" s="58">
        <v>35.848999999999997</v>
      </c>
      <c r="H134" s="58">
        <v>16.972999999999999</v>
      </c>
      <c r="I134" s="58">
        <v>38.487000000000002</v>
      </c>
      <c r="J134" s="58">
        <v>14.335000000000001</v>
      </c>
      <c r="K134" s="54" t="s">
        <v>2</v>
      </c>
      <c r="L134" s="128" t="s">
        <v>186</v>
      </c>
      <c r="M134" s="129"/>
      <c r="N134" s="129"/>
      <c r="O134" s="130"/>
      <c r="Q134" s="101">
        <f t="shared" si="35"/>
        <v>0.32132444814660555</v>
      </c>
    </row>
    <row r="135" spans="2:17">
      <c r="B135" s="9" t="s">
        <v>187</v>
      </c>
      <c r="C135" s="54" t="s">
        <v>188</v>
      </c>
      <c r="D135" s="87">
        <v>241</v>
      </c>
      <c r="E135" s="201"/>
      <c r="F135" s="58">
        <v>9.6310000000000002</v>
      </c>
      <c r="G135" s="58">
        <v>5.2409999999999997</v>
      </c>
      <c r="H135" s="58">
        <v>4.3899999999999997</v>
      </c>
      <c r="I135" s="58">
        <v>6.4450000000000003</v>
      </c>
      <c r="J135" s="58">
        <v>3.1859999999999999</v>
      </c>
      <c r="K135" s="54" t="s">
        <v>21</v>
      </c>
      <c r="L135" s="128" t="s">
        <v>189</v>
      </c>
      <c r="M135" s="129"/>
      <c r="N135" s="129"/>
      <c r="O135" s="130"/>
      <c r="Q135" s="101">
        <f t="shared" si="35"/>
        <v>0.45581974872806558</v>
      </c>
    </row>
    <row r="136" spans="2:17">
      <c r="B136" s="190" t="s">
        <v>190</v>
      </c>
      <c r="C136" s="191"/>
      <c r="D136" s="192">
        <f>SUM(D120:D135)</f>
        <v>13287</v>
      </c>
      <c r="E136" s="201">
        <f t="shared" si="40"/>
        <v>535466100</v>
      </c>
      <c r="F136" s="193">
        <f>SUM(F120:F135)</f>
        <v>535.82399999999996</v>
      </c>
      <c r="G136" s="193">
        <f t="shared" ref="G136:J136" si="43">SUM(G120:G135)</f>
        <v>357.92999999999995</v>
      </c>
      <c r="H136" s="193">
        <f t="shared" si="43"/>
        <v>180.202</v>
      </c>
      <c r="I136" s="193">
        <f t="shared" si="43"/>
        <v>413.28499999999997</v>
      </c>
      <c r="J136" s="193">
        <f t="shared" si="43"/>
        <v>124.84700000000001</v>
      </c>
      <c r="K136" s="191"/>
      <c r="L136" s="84"/>
      <c r="M136" s="85"/>
      <c r="N136" s="85"/>
      <c r="O136" s="86"/>
      <c r="Q136" s="101">
        <f t="shared" si="35"/>
        <v>0.33630819074920126</v>
      </c>
    </row>
    <row r="137" spans="2:17">
      <c r="B137" s="9" t="s">
        <v>70</v>
      </c>
      <c r="C137" s="54" t="s">
        <v>191</v>
      </c>
      <c r="D137" s="54">
        <v>218</v>
      </c>
      <c r="E137" s="201"/>
      <c r="F137" s="58">
        <v>8.7720000000000002</v>
      </c>
      <c r="G137" s="58">
        <v>6.4939999999999998</v>
      </c>
      <c r="H137" s="58">
        <v>2.2789999999999999</v>
      </c>
      <c r="I137" s="58">
        <v>9.6539999999999999</v>
      </c>
      <c r="J137" s="58">
        <v>-0.88100000000000001</v>
      </c>
      <c r="K137" s="56" t="s">
        <v>2</v>
      </c>
      <c r="L137" s="128" t="s">
        <v>192</v>
      </c>
      <c r="M137" s="129"/>
      <c r="N137" s="129"/>
      <c r="O137" s="130"/>
      <c r="Q137" s="101">
        <f t="shared" si="35"/>
        <v>0.25980392156862742</v>
      </c>
    </row>
    <row r="138" spans="2:17">
      <c r="B138" s="9" t="s">
        <v>193</v>
      </c>
      <c r="C138" s="54" t="s">
        <v>194</v>
      </c>
      <c r="D138" s="54">
        <v>51</v>
      </c>
      <c r="E138" s="201"/>
      <c r="F138" s="58">
        <v>2.052</v>
      </c>
      <c r="G138" s="58">
        <v>1.7350000000000001</v>
      </c>
      <c r="H138" s="58">
        <v>0.317</v>
      </c>
      <c r="I138" s="58">
        <v>1.8260000000000001</v>
      </c>
      <c r="J138" s="58">
        <v>0.22600000000000001</v>
      </c>
      <c r="K138" s="56" t="s">
        <v>2</v>
      </c>
      <c r="L138" s="128" t="s">
        <v>195</v>
      </c>
      <c r="M138" s="129"/>
      <c r="N138" s="129"/>
      <c r="O138" s="130"/>
      <c r="Q138" s="101">
        <f t="shared" si="35"/>
        <v>0.15448343079922028</v>
      </c>
    </row>
    <row r="139" spans="2:17">
      <c r="B139" s="9" t="s">
        <v>169</v>
      </c>
      <c r="C139" s="54" t="s">
        <v>196</v>
      </c>
      <c r="D139" s="54">
        <v>124</v>
      </c>
      <c r="E139" s="201"/>
      <c r="F139" s="58">
        <v>5.0620000000000003</v>
      </c>
      <c r="G139" s="58">
        <v>4.1710000000000003</v>
      </c>
      <c r="H139" s="58">
        <v>0.89200000000000002</v>
      </c>
      <c r="I139" s="58">
        <v>4.2320000000000002</v>
      </c>
      <c r="J139" s="58">
        <v>0.83099999999999996</v>
      </c>
      <c r="K139" s="56" t="s">
        <v>2</v>
      </c>
      <c r="L139" s="128" t="s">
        <v>197</v>
      </c>
      <c r="M139" s="129"/>
      <c r="N139" s="129"/>
      <c r="O139" s="130"/>
      <c r="Q139" s="101">
        <f t="shared" si="35"/>
        <v>0.17621493480837613</v>
      </c>
    </row>
    <row r="140" spans="2:17">
      <c r="B140" s="9" t="s">
        <v>136</v>
      </c>
      <c r="C140" s="54" t="s">
        <v>198</v>
      </c>
      <c r="D140" s="87">
        <v>511</v>
      </c>
      <c r="E140" s="233"/>
      <c r="F140" s="233">
        <v>20.260999999999999</v>
      </c>
      <c r="G140" s="58">
        <v>17.294</v>
      </c>
      <c r="H140" s="58">
        <v>2.9670000000000001</v>
      </c>
      <c r="I140" s="58">
        <v>17.294</v>
      </c>
      <c r="J140" s="58">
        <v>2.9670000000000001</v>
      </c>
      <c r="K140" s="56" t="s">
        <v>2</v>
      </c>
      <c r="L140" s="234" t="s">
        <v>199</v>
      </c>
      <c r="M140" s="235"/>
      <c r="N140" s="235"/>
      <c r="O140" s="236"/>
      <c r="Q140" s="101"/>
    </row>
    <row r="141" spans="2:17">
      <c r="B141" s="9" t="s">
        <v>200</v>
      </c>
      <c r="C141" s="54" t="s">
        <v>201</v>
      </c>
      <c r="D141" s="54">
        <v>136</v>
      </c>
      <c r="E141" s="201"/>
      <c r="F141" s="58">
        <v>5.4729999999999999</v>
      </c>
      <c r="G141" s="58">
        <v>1.5860000000000001</v>
      </c>
      <c r="H141" s="58">
        <v>3.887</v>
      </c>
      <c r="I141" s="58">
        <v>4.524</v>
      </c>
      <c r="J141" s="58">
        <v>0.94899999999999995</v>
      </c>
      <c r="K141" s="56" t="s">
        <v>2</v>
      </c>
      <c r="L141" s="128" t="s">
        <v>202</v>
      </c>
      <c r="M141" s="129"/>
      <c r="N141" s="129"/>
      <c r="O141" s="130"/>
      <c r="Q141" s="101">
        <f t="shared" si="35"/>
        <v>0.7102137767220903</v>
      </c>
    </row>
    <row r="142" spans="2:17">
      <c r="B142" s="9" t="s">
        <v>105</v>
      </c>
      <c r="C142" s="54" t="s">
        <v>203</v>
      </c>
      <c r="D142" s="87">
        <v>246</v>
      </c>
      <c r="E142" s="233"/>
      <c r="F142" s="233">
        <v>10.048</v>
      </c>
      <c r="G142" s="58">
        <v>8.5370000000000008</v>
      </c>
      <c r="H142" s="58">
        <v>1.5109999999999999</v>
      </c>
      <c r="I142" s="58">
        <v>8.5370000000000008</v>
      </c>
      <c r="J142" s="58">
        <v>1.5109999999999999</v>
      </c>
      <c r="K142" s="56" t="s">
        <v>2</v>
      </c>
      <c r="L142" s="234" t="s">
        <v>204</v>
      </c>
      <c r="M142" s="235"/>
      <c r="N142" s="235"/>
      <c r="O142" s="236"/>
      <c r="Q142" s="101"/>
    </row>
    <row r="143" spans="2:17">
      <c r="B143" s="9" t="s">
        <v>205</v>
      </c>
      <c r="C143" s="54" t="s">
        <v>206</v>
      </c>
      <c r="D143" s="87">
        <v>1644</v>
      </c>
      <c r="E143" s="201"/>
      <c r="F143" s="58">
        <v>66.155000000000001</v>
      </c>
      <c r="G143" s="58">
        <v>32.625</v>
      </c>
      <c r="H143" s="58">
        <v>33.53</v>
      </c>
      <c r="I143" s="58">
        <v>39.628</v>
      </c>
      <c r="J143" s="58">
        <v>26.527000000000001</v>
      </c>
      <c r="K143" s="56" t="s">
        <v>2</v>
      </c>
      <c r="L143" s="128" t="s">
        <v>207</v>
      </c>
      <c r="M143" s="129"/>
      <c r="N143" s="129"/>
      <c r="O143" s="130"/>
      <c r="Q143" s="101">
        <f t="shared" si="35"/>
        <v>0.50683999697679694</v>
      </c>
    </row>
    <row r="144" spans="2:17">
      <c r="B144" s="9" t="s">
        <v>36</v>
      </c>
      <c r="C144" s="54" t="s">
        <v>208</v>
      </c>
      <c r="D144" s="202">
        <v>109</v>
      </c>
      <c r="E144" s="201"/>
      <c r="F144" s="58">
        <v>4.3860000000000001</v>
      </c>
      <c r="G144" s="58">
        <v>1.726</v>
      </c>
      <c r="H144" s="58">
        <v>2.6589999999999998</v>
      </c>
      <c r="I144" s="58">
        <v>3.2370000000000001</v>
      </c>
      <c r="J144" s="58">
        <v>1.1489</v>
      </c>
      <c r="K144" s="56" t="s">
        <v>21</v>
      </c>
      <c r="L144" s="128" t="s">
        <v>209</v>
      </c>
      <c r="M144" s="129"/>
      <c r="N144" s="129"/>
      <c r="O144" s="130"/>
      <c r="Q144" s="101">
        <f t="shared" ref="Q144:Q148" si="44">H144/F144</f>
        <v>0.60624715002279972</v>
      </c>
    </row>
    <row r="145" spans="2:17">
      <c r="B145" s="9" t="s">
        <v>51</v>
      </c>
      <c r="C145" s="54" t="s">
        <v>210</v>
      </c>
      <c r="D145" s="202">
        <v>1462</v>
      </c>
      <c r="E145" s="201"/>
      <c r="F145" s="201">
        <v>58.831000000000003</v>
      </c>
      <c r="G145" s="58">
        <v>22.658000000000001</v>
      </c>
      <c r="H145" s="58">
        <v>36.173000000000002</v>
      </c>
      <c r="I145" s="58">
        <v>49.54</v>
      </c>
      <c r="J145" s="58">
        <v>9.2910000000000004</v>
      </c>
      <c r="K145" s="58" t="s">
        <v>2</v>
      </c>
      <c r="L145" s="128" t="s">
        <v>211</v>
      </c>
      <c r="M145" s="129"/>
      <c r="N145" s="129"/>
      <c r="O145" s="130"/>
      <c r="Q145" s="101"/>
    </row>
    <row r="146" spans="2:17">
      <c r="B146" s="9" t="s">
        <v>212</v>
      </c>
      <c r="C146" s="54" t="s">
        <v>213</v>
      </c>
      <c r="D146" s="87">
        <v>166</v>
      </c>
      <c r="E146" s="201"/>
      <c r="F146" s="58">
        <v>6.625</v>
      </c>
      <c r="G146" s="58">
        <v>2.6339999999999999</v>
      </c>
      <c r="H146" s="58">
        <v>3.9910000000000001</v>
      </c>
      <c r="I146" s="58">
        <v>4.2720000000000002</v>
      </c>
      <c r="J146" s="58">
        <v>2.3529</v>
      </c>
      <c r="K146" s="56" t="s">
        <v>21</v>
      </c>
      <c r="L146" s="128" t="s">
        <v>214</v>
      </c>
      <c r="M146" s="129"/>
      <c r="N146" s="129"/>
      <c r="O146" s="130"/>
      <c r="Q146" s="101">
        <f t="shared" si="44"/>
        <v>0.6024150943396227</v>
      </c>
    </row>
    <row r="147" spans="2:17">
      <c r="B147" s="9" t="s">
        <v>212</v>
      </c>
      <c r="C147" s="54" t="s">
        <v>215</v>
      </c>
      <c r="D147" s="87">
        <v>50</v>
      </c>
      <c r="E147" s="201"/>
      <c r="F147" s="58">
        <v>2.012</v>
      </c>
      <c r="G147" s="58">
        <v>1.5569999999999999</v>
      </c>
      <c r="H147" s="58">
        <v>0.45400000000000001</v>
      </c>
      <c r="I147" s="58">
        <v>1.6020000000000001</v>
      </c>
      <c r="J147" s="58">
        <v>0.40899999999999997</v>
      </c>
      <c r="K147" s="56" t="s">
        <v>21</v>
      </c>
      <c r="L147" s="128" t="s">
        <v>216</v>
      </c>
      <c r="M147" s="129"/>
      <c r="N147" s="129"/>
      <c r="O147" s="130"/>
      <c r="Q147" s="101">
        <f t="shared" si="44"/>
        <v>0.22564612326043737</v>
      </c>
    </row>
    <row r="148" spans="2:17">
      <c r="B148" s="9" t="s">
        <v>172</v>
      </c>
      <c r="C148" s="54" t="s">
        <v>217</v>
      </c>
      <c r="D148" s="87">
        <v>990</v>
      </c>
      <c r="E148" s="201"/>
      <c r="F148" s="58">
        <v>39.837000000000003</v>
      </c>
      <c r="G148" s="58">
        <v>15.8047</v>
      </c>
      <c r="H148" s="58">
        <v>24.033000000000001</v>
      </c>
      <c r="I148" s="58">
        <v>31.2727</v>
      </c>
      <c r="J148" s="58">
        <v>8.5648999999999997</v>
      </c>
      <c r="K148" s="56" t="s">
        <v>21</v>
      </c>
      <c r="L148" s="195" t="s">
        <v>218</v>
      </c>
      <c r="M148" s="196"/>
      <c r="N148" s="196"/>
      <c r="O148" s="197"/>
      <c r="Q148" s="101">
        <f t="shared" si="44"/>
        <v>0.60328337977257318</v>
      </c>
    </row>
    <row r="149" spans="2:17">
      <c r="B149" s="9" t="s">
        <v>219</v>
      </c>
      <c r="C149" s="54" t="s">
        <v>220</v>
      </c>
      <c r="D149" s="87">
        <v>202.3</v>
      </c>
      <c r="E149" s="233"/>
      <c r="F149" s="58">
        <v>8.2629999999999999</v>
      </c>
      <c r="G149" s="58">
        <v>3.3029999999999999</v>
      </c>
      <c r="H149" s="58">
        <v>4.96</v>
      </c>
      <c r="I149" s="58">
        <v>4.4050000000000002</v>
      </c>
      <c r="J149" s="58">
        <v>3.8580000000000001</v>
      </c>
      <c r="K149" s="56" t="s">
        <v>2</v>
      </c>
      <c r="L149" s="195" t="s">
        <v>221</v>
      </c>
      <c r="M149" s="196"/>
      <c r="N149" s="196"/>
      <c r="O149" s="197"/>
      <c r="Q149" s="101"/>
    </row>
    <row r="150" spans="2:17">
      <c r="B150" s="26" t="s">
        <v>222</v>
      </c>
      <c r="C150" s="48"/>
      <c r="D150" s="108">
        <f>SUM(D137:D149)</f>
        <v>5909.3</v>
      </c>
      <c r="E150" s="201">
        <f t="shared" ref="E150:E152" si="45">D150*$E$76</f>
        <v>238144790</v>
      </c>
      <c r="F150" s="49">
        <f>SUM(F137:F149)</f>
        <v>237.77700000000002</v>
      </c>
      <c r="G150" s="49">
        <f>SUM(G137:G149)</f>
        <v>120.1247</v>
      </c>
      <c r="H150" s="49">
        <f>SUM(H137:H149)</f>
        <v>117.65299999999999</v>
      </c>
      <c r="I150" s="49">
        <f>SUM(I137:I149)</f>
        <v>180.02369999999999</v>
      </c>
      <c r="J150" s="49">
        <f>SUM(J137:J149)</f>
        <v>57.7547</v>
      </c>
      <c r="K150" s="48"/>
      <c r="L150" s="84"/>
      <c r="M150" s="85"/>
      <c r="N150" s="85"/>
      <c r="O150" s="86"/>
    </row>
    <row r="151" spans="2:17">
      <c r="B151" s="9" t="s">
        <v>223</v>
      </c>
      <c r="C151" s="54" t="s">
        <v>224</v>
      </c>
      <c r="D151" s="87">
        <v>339</v>
      </c>
      <c r="E151" s="201"/>
      <c r="F151" s="201">
        <v>13.856999999999999</v>
      </c>
      <c r="G151" s="58">
        <v>8.9879999999999995</v>
      </c>
      <c r="H151" s="58">
        <v>4.8689999999999998</v>
      </c>
      <c r="I151" s="230">
        <v>11.443</v>
      </c>
      <c r="J151" s="231">
        <v>2.4129999999999998</v>
      </c>
      <c r="K151" s="232" t="s">
        <v>2</v>
      </c>
      <c r="L151" s="195" t="s">
        <v>225</v>
      </c>
      <c r="M151" s="196"/>
      <c r="N151" s="196"/>
      <c r="O151" s="197"/>
      <c r="Q151" s="101"/>
    </row>
    <row r="152" spans="2:17">
      <c r="B152" s="26" t="s">
        <v>226</v>
      </c>
      <c r="C152" s="48"/>
      <c r="D152" s="108">
        <f>SUM(D151)</f>
        <v>339</v>
      </c>
      <c r="E152" s="201">
        <f t="shared" si="45"/>
        <v>13661700</v>
      </c>
      <c r="F152" s="49">
        <f>SUM(F151)</f>
        <v>13.856999999999999</v>
      </c>
      <c r="G152" s="49">
        <f t="shared" ref="G152:J152" si="46">SUM(G151)</f>
        <v>8.9879999999999995</v>
      </c>
      <c r="H152" s="49">
        <f t="shared" si="46"/>
        <v>4.8689999999999998</v>
      </c>
      <c r="I152" s="49">
        <f t="shared" si="46"/>
        <v>11.443</v>
      </c>
      <c r="J152" s="49">
        <f t="shared" si="46"/>
        <v>2.4129999999999998</v>
      </c>
      <c r="K152" s="48"/>
      <c r="L152" s="84"/>
      <c r="M152" s="85"/>
      <c r="N152" s="85"/>
      <c r="O152" s="86"/>
    </row>
    <row r="153" spans="2:17">
      <c r="B153" s="102" t="s">
        <v>15</v>
      </c>
      <c r="C153" s="103"/>
      <c r="D153" s="109">
        <f>D88+D96+D107+D119+D136+D150+D152</f>
        <v>48890.400000000001</v>
      </c>
      <c r="E153" s="201">
        <f t="shared" ref="E153" si="47">D153*$E$76</f>
        <v>1970283120</v>
      </c>
      <c r="F153" s="104">
        <f>F88+F96+F107+F119+F136+F150+F152</f>
        <v>1958.768</v>
      </c>
      <c r="G153" s="104">
        <f t="shared" ref="G153:J153" si="48">G88+G96+G107+G119+G136+G150+G152</f>
        <v>1168.2117000000001</v>
      </c>
      <c r="H153" s="104">
        <f t="shared" si="48"/>
        <v>812.23200000000008</v>
      </c>
      <c r="I153" s="104">
        <f t="shared" si="48"/>
        <v>1450.1736999999998</v>
      </c>
      <c r="J153" s="104">
        <f t="shared" si="48"/>
        <v>526.14970000000005</v>
      </c>
      <c r="K153" s="103"/>
      <c r="L153" s="105"/>
      <c r="M153" s="106"/>
      <c r="N153" s="106"/>
      <c r="O153" s="107"/>
    </row>
    <row r="154" spans="2:17">
      <c r="H154" s="204">
        <f>H153/F153</f>
        <v>0.41466472803313109</v>
      </c>
    </row>
    <row r="156" spans="2:17">
      <c r="B156" s="247" t="s">
        <v>227</v>
      </c>
      <c r="C156" s="248"/>
      <c r="D156" s="109">
        <f>D153-D152</f>
        <v>48551.4</v>
      </c>
      <c r="E156" s="201">
        <f t="shared" ref="E156" si="49">D156*$E$76</f>
        <v>1956621420</v>
      </c>
      <c r="F156" s="104">
        <f t="shared" ref="F156" si="50">F153-F152</f>
        <v>1944.9110000000001</v>
      </c>
    </row>
  </sheetData>
  <autoFilter ref="B77:K154" xr:uid="{00000000-0001-0000-0000-000000000000}"/>
  <mergeCells count="30">
    <mergeCell ref="B156:C156"/>
    <mergeCell ref="L108:O108"/>
    <mergeCell ref="L104:O104"/>
    <mergeCell ref="L105:O105"/>
    <mergeCell ref="L106:O106"/>
    <mergeCell ref="L77:O77"/>
    <mergeCell ref="L78:O78"/>
    <mergeCell ref="L79:O79"/>
    <mergeCell ref="L80:O80"/>
    <mergeCell ref="L81:O81"/>
    <mergeCell ref="L82:O82"/>
    <mergeCell ref="L83:O83"/>
    <mergeCell ref="L84:O84"/>
    <mergeCell ref="L85:O85"/>
    <mergeCell ref="L86:O86"/>
    <mergeCell ref="L98:O98"/>
    <mergeCell ref="L97:O97"/>
    <mergeCell ref="L87:O87"/>
    <mergeCell ref="L94:O94"/>
    <mergeCell ref="L95:O95"/>
    <mergeCell ref="L89:O89"/>
    <mergeCell ref="L90:O90"/>
    <mergeCell ref="L91:O91"/>
    <mergeCell ref="L92:O92"/>
    <mergeCell ref="L93:O93"/>
    <mergeCell ref="L101:O101"/>
    <mergeCell ref="L102:O102"/>
    <mergeCell ref="L103:O103"/>
    <mergeCell ref="L99:O99"/>
    <mergeCell ref="L100:O10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849E-40AA-D643-9018-815408B141A6}">
  <dimension ref="A1:J25"/>
  <sheetViews>
    <sheetView showGridLines="0" topLeftCell="C1" zoomScale="120" zoomScaleNormal="120" workbookViewId="0">
      <selection activeCell="I2" sqref="I2:I20"/>
    </sheetView>
  </sheetViews>
  <sheetFormatPr defaultColWidth="11.42578125" defaultRowHeight="15"/>
  <cols>
    <col min="2" max="2" width="63" customWidth="1"/>
    <col min="3" max="3" width="21.42578125" customWidth="1"/>
    <col min="4" max="4" width="17.85546875" customWidth="1"/>
    <col min="7" max="7" width="33.42578125" customWidth="1"/>
    <col min="9" max="9" width="14.42578125" bestFit="1" customWidth="1"/>
    <col min="10" max="10" width="17.42578125" style="46" customWidth="1"/>
  </cols>
  <sheetData>
    <row r="1" spans="1:10">
      <c r="A1" s="27" t="s">
        <v>34</v>
      </c>
      <c r="B1" s="27" t="s">
        <v>228</v>
      </c>
      <c r="C1" s="27" t="s">
        <v>26</v>
      </c>
      <c r="D1" s="27" t="s">
        <v>229</v>
      </c>
      <c r="E1" s="28" t="s">
        <v>230</v>
      </c>
      <c r="F1" s="27" t="s">
        <v>231</v>
      </c>
      <c r="G1" s="27" t="s">
        <v>232</v>
      </c>
      <c r="H1" s="29" t="s">
        <v>233</v>
      </c>
      <c r="I1" s="28" t="s">
        <v>234</v>
      </c>
      <c r="J1" s="44" t="s">
        <v>235</v>
      </c>
    </row>
    <row r="2" spans="1:10" ht="15.95">
      <c r="A2" s="39" t="s">
        <v>21</v>
      </c>
      <c r="B2" s="40" t="s">
        <v>236</v>
      </c>
      <c r="C2" s="40" t="s">
        <v>237</v>
      </c>
      <c r="D2" s="40" t="s">
        <v>238</v>
      </c>
      <c r="E2" s="41">
        <v>120</v>
      </c>
      <c r="F2" s="42">
        <v>46052</v>
      </c>
      <c r="G2" s="40" t="s">
        <v>239</v>
      </c>
      <c r="H2" s="43">
        <v>0.6</v>
      </c>
      <c r="I2" s="41">
        <f t="shared" ref="I2:I20" si="0">E2*H2</f>
        <v>72</v>
      </c>
      <c r="J2" s="45" t="s">
        <v>240</v>
      </c>
    </row>
    <row r="3" spans="1:10" ht="15.95">
      <c r="A3" s="39" t="s">
        <v>2</v>
      </c>
      <c r="B3" s="40" t="s">
        <v>241</v>
      </c>
      <c r="C3" s="40"/>
      <c r="D3" s="40" t="s">
        <v>242</v>
      </c>
      <c r="E3" s="41">
        <v>20</v>
      </c>
      <c r="F3" s="42">
        <v>46053</v>
      </c>
      <c r="G3" s="40" t="s">
        <v>243</v>
      </c>
      <c r="H3" s="43">
        <v>0.9</v>
      </c>
      <c r="I3" s="41">
        <f t="shared" si="0"/>
        <v>18</v>
      </c>
      <c r="J3" s="45" t="s">
        <v>244</v>
      </c>
    </row>
    <row r="4" spans="1:10" ht="15.95">
      <c r="A4" s="4" t="s">
        <v>147</v>
      </c>
      <c r="B4" s="30" t="s">
        <v>245</v>
      </c>
      <c r="C4" s="30" t="s">
        <v>246</v>
      </c>
      <c r="D4" s="30" t="s">
        <v>247</v>
      </c>
      <c r="E4" s="31">
        <v>10</v>
      </c>
      <c r="F4" s="32">
        <v>46112</v>
      </c>
      <c r="G4" s="30" t="s">
        <v>239</v>
      </c>
      <c r="H4" s="33">
        <v>0.7</v>
      </c>
      <c r="I4" s="31">
        <f t="shared" si="0"/>
        <v>7</v>
      </c>
    </row>
    <row r="5" spans="1:10" ht="15.95">
      <c r="A5" s="4" t="s">
        <v>2</v>
      </c>
      <c r="B5" s="30" t="s">
        <v>248</v>
      </c>
      <c r="C5" s="30" t="s">
        <v>249</v>
      </c>
      <c r="D5" s="30" t="s">
        <v>242</v>
      </c>
      <c r="E5" s="31">
        <v>25</v>
      </c>
      <c r="F5" s="32">
        <v>46080</v>
      </c>
      <c r="G5" s="30" t="s">
        <v>243</v>
      </c>
      <c r="H5" s="33">
        <v>0.9</v>
      </c>
      <c r="I5" s="31">
        <f t="shared" si="0"/>
        <v>22.5</v>
      </c>
    </row>
    <row r="6" spans="1:10" ht="15.95">
      <c r="A6" s="4" t="s">
        <v>2</v>
      </c>
      <c r="B6" s="30" t="s">
        <v>250</v>
      </c>
      <c r="C6" s="30"/>
      <c r="D6" s="30" t="s">
        <v>247</v>
      </c>
      <c r="E6" s="31">
        <v>39</v>
      </c>
      <c r="F6" s="32">
        <v>46112</v>
      </c>
      <c r="G6" s="30" t="s">
        <v>239</v>
      </c>
      <c r="H6" s="33">
        <v>0.7</v>
      </c>
      <c r="I6" s="31">
        <f t="shared" si="0"/>
        <v>27.299999999999997</v>
      </c>
    </row>
    <row r="7" spans="1:10" ht="15.95">
      <c r="A7" s="4" t="s">
        <v>21</v>
      </c>
      <c r="B7" s="30" t="s">
        <v>251</v>
      </c>
      <c r="C7" s="30" t="s">
        <v>237</v>
      </c>
      <c r="D7" s="30" t="s">
        <v>238</v>
      </c>
      <c r="E7" s="31">
        <v>736</v>
      </c>
      <c r="F7" s="32">
        <v>46080</v>
      </c>
      <c r="G7" s="30" t="s">
        <v>252</v>
      </c>
      <c r="H7" s="33">
        <v>0.6</v>
      </c>
      <c r="I7" s="31">
        <f t="shared" si="0"/>
        <v>441.59999999999997</v>
      </c>
    </row>
    <row r="8" spans="1:10" ht="15.95">
      <c r="A8" s="4" t="s">
        <v>2</v>
      </c>
      <c r="B8" s="30" t="s">
        <v>253</v>
      </c>
      <c r="C8" s="30" t="s">
        <v>254</v>
      </c>
      <c r="D8" s="30" t="s">
        <v>242</v>
      </c>
      <c r="E8" s="31">
        <v>35</v>
      </c>
      <c r="F8" s="32">
        <v>46081</v>
      </c>
      <c r="G8" s="30" t="s">
        <v>252</v>
      </c>
      <c r="H8" s="33">
        <v>0.6</v>
      </c>
      <c r="I8" s="31">
        <f t="shared" si="0"/>
        <v>21</v>
      </c>
    </row>
    <row r="9" spans="1:10" ht="15.95">
      <c r="A9" s="4" t="s">
        <v>2</v>
      </c>
      <c r="B9" s="30" t="s">
        <v>255</v>
      </c>
      <c r="C9" s="30" t="s">
        <v>100</v>
      </c>
      <c r="D9" s="30" t="s">
        <v>242</v>
      </c>
      <c r="E9" s="31">
        <v>3</v>
      </c>
      <c r="F9" s="32">
        <v>46081</v>
      </c>
      <c r="G9" s="30" t="s">
        <v>252</v>
      </c>
      <c r="H9" s="33">
        <v>0.5</v>
      </c>
      <c r="I9" s="31">
        <f t="shared" si="0"/>
        <v>1.5</v>
      </c>
    </row>
    <row r="10" spans="1:10" ht="15.95">
      <c r="A10" s="4" t="s">
        <v>2</v>
      </c>
      <c r="B10" s="30" t="s">
        <v>256</v>
      </c>
      <c r="C10" s="30" t="s">
        <v>257</v>
      </c>
      <c r="D10" s="30" t="s">
        <v>242</v>
      </c>
      <c r="E10" s="31">
        <v>145</v>
      </c>
      <c r="F10" s="32">
        <v>46112</v>
      </c>
      <c r="G10" s="30" t="s">
        <v>239</v>
      </c>
      <c r="H10" s="33">
        <v>0.5</v>
      </c>
      <c r="I10" s="31">
        <f t="shared" si="0"/>
        <v>72.5</v>
      </c>
    </row>
    <row r="11" spans="1:10" ht="15.95">
      <c r="A11" s="4" t="s">
        <v>147</v>
      </c>
      <c r="B11" s="30" t="s">
        <v>258</v>
      </c>
      <c r="C11" s="30" t="s">
        <v>172</v>
      </c>
      <c r="D11" s="30" t="s">
        <v>247</v>
      </c>
      <c r="E11" s="31">
        <v>50</v>
      </c>
      <c r="F11" s="32">
        <v>46081</v>
      </c>
      <c r="G11" s="30" t="s">
        <v>243</v>
      </c>
      <c r="H11" s="33">
        <v>0.9</v>
      </c>
      <c r="I11" s="31">
        <f t="shared" si="0"/>
        <v>45</v>
      </c>
    </row>
    <row r="12" spans="1:10" ht="15.95">
      <c r="A12" s="4" t="s">
        <v>2</v>
      </c>
      <c r="B12" s="30" t="s">
        <v>259</v>
      </c>
      <c r="C12" s="30" t="s">
        <v>260</v>
      </c>
      <c r="D12" s="30" t="s">
        <v>247</v>
      </c>
      <c r="E12" s="31">
        <v>220</v>
      </c>
      <c r="F12" s="32">
        <v>46112</v>
      </c>
      <c r="G12" s="30" t="s">
        <v>261</v>
      </c>
      <c r="H12" s="33">
        <v>0.5</v>
      </c>
      <c r="I12" s="31">
        <f t="shared" si="0"/>
        <v>110</v>
      </c>
    </row>
    <row r="13" spans="1:10" ht="15.95">
      <c r="A13" s="4" t="s">
        <v>2</v>
      </c>
      <c r="B13" s="30" t="s">
        <v>262</v>
      </c>
      <c r="C13" s="30" t="s">
        <v>263</v>
      </c>
      <c r="D13" s="30" t="s">
        <v>247</v>
      </c>
      <c r="E13" s="31">
        <v>180</v>
      </c>
      <c r="F13" s="32">
        <v>46112</v>
      </c>
      <c r="G13" s="30" t="s">
        <v>239</v>
      </c>
      <c r="H13" s="33">
        <v>0.7</v>
      </c>
      <c r="I13" s="31">
        <f t="shared" si="0"/>
        <v>125.99999999999999</v>
      </c>
    </row>
    <row r="14" spans="1:10" ht="15.95">
      <c r="A14" s="4" t="s">
        <v>2</v>
      </c>
      <c r="B14" s="30" t="s">
        <v>264</v>
      </c>
      <c r="C14" s="30" t="s">
        <v>265</v>
      </c>
      <c r="D14" s="30" t="s">
        <v>247</v>
      </c>
      <c r="E14" s="31">
        <v>86</v>
      </c>
      <c r="F14" s="32">
        <v>46112</v>
      </c>
      <c r="G14" s="30" t="s">
        <v>239</v>
      </c>
      <c r="H14" s="33">
        <v>0.7</v>
      </c>
      <c r="I14" s="31">
        <f t="shared" si="0"/>
        <v>60.199999999999996</v>
      </c>
    </row>
    <row r="15" spans="1:10" ht="15.95">
      <c r="A15" s="4" t="s">
        <v>2</v>
      </c>
      <c r="B15" s="30" t="s">
        <v>266</v>
      </c>
      <c r="C15" s="30" t="s">
        <v>267</v>
      </c>
      <c r="D15" s="30" t="s">
        <v>242</v>
      </c>
      <c r="E15" s="31">
        <v>75</v>
      </c>
      <c r="F15" s="32">
        <v>46112</v>
      </c>
      <c r="G15" s="30" t="s">
        <v>243</v>
      </c>
      <c r="H15" s="33">
        <v>0.9</v>
      </c>
      <c r="I15" s="31">
        <f t="shared" si="0"/>
        <v>67.5</v>
      </c>
    </row>
    <row r="16" spans="1:10" ht="15.95">
      <c r="A16" s="4" t="s">
        <v>2</v>
      </c>
      <c r="B16" s="30" t="s">
        <v>268</v>
      </c>
      <c r="C16" s="30" t="s">
        <v>269</v>
      </c>
      <c r="D16" s="30" t="s">
        <v>242</v>
      </c>
      <c r="E16" s="31">
        <v>73</v>
      </c>
      <c r="F16" s="32">
        <v>46112</v>
      </c>
      <c r="G16" s="30" t="s">
        <v>261</v>
      </c>
      <c r="H16" s="33">
        <v>0.5</v>
      </c>
      <c r="I16" s="31">
        <f t="shared" si="0"/>
        <v>36.5</v>
      </c>
    </row>
    <row r="17" spans="1:10" ht="15.95">
      <c r="A17" s="4" t="s">
        <v>2</v>
      </c>
      <c r="B17" s="30" t="s">
        <v>270</v>
      </c>
      <c r="C17" s="30"/>
      <c r="D17" s="30" t="s">
        <v>247</v>
      </c>
      <c r="E17" s="31">
        <v>95</v>
      </c>
      <c r="F17" s="32">
        <v>46112</v>
      </c>
      <c r="G17" s="30" t="s">
        <v>239</v>
      </c>
      <c r="H17" s="33">
        <v>0.7</v>
      </c>
      <c r="I17" s="31">
        <f t="shared" si="0"/>
        <v>66.5</v>
      </c>
    </row>
    <row r="18" spans="1:10" ht="15.95">
      <c r="A18" s="4" t="s">
        <v>2</v>
      </c>
      <c r="B18" s="30" t="s">
        <v>271</v>
      </c>
      <c r="C18" s="30" t="s">
        <v>272</v>
      </c>
      <c r="D18" s="30" t="s">
        <v>238</v>
      </c>
      <c r="E18" s="31">
        <v>70</v>
      </c>
      <c r="F18" s="32">
        <v>46112</v>
      </c>
      <c r="G18" s="30" t="s">
        <v>261</v>
      </c>
      <c r="H18" s="33">
        <v>0.5</v>
      </c>
      <c r="I18" s="31">
        <f t="shared" si="0"/>
        <v>35</v>
      </c>
    </row>
    <row r="19" spans="1:10" ht="15.95">
      <c r="A19" s="4" t="s">
        <v>147</v>
      </c>
      <c r="B19" s="30" t="s">
        <v>273</v>
      </c>
      <c r="C19" s="30" t="s">
        <v>108</v>
      </c>
      <c r="D19" s="30" t="s">
        <v>247</v>
      </c>
      <c r="E19" s="31">
        <v>100</v>
      </c>
      <c r="F19" s="32">
        <v>46112</v>
      </c>
      <c r="G19" s="30" t="s">
        <v>261</v>
      </c>
      <c r="H19" s="33">
        <v>0.3</v>
      </c>
      <c r="I19" s="31">
        <f t="shared" si="0"/>
        <v>30</v>
      </c>
    </row>
    <row r="20" spans="1:10" ht="15.95">
      <c r="A20" s="4" t="s">
        <v>21</v>
      </c>
      <c r="B20" s="30" t="s">
        <v>274</v>
      </c>
      <c r="C20" s="30"/>
      <c r="D20" s="30" t="s">
        <v>238</v>
      </c>
      <c r="E20" s="31">
        <v>55</v>
      </c>
      <c r="F20" s="32">
        <v>46112</v>
      </c>
      <c r="G20" s="30" t="s">
        <v>261</v>
      </c>
      <c r="H20" s="33">
        <v>0.5</v>
      </c>
      <c r="I20" s="31">
        <f t="shared" si="0"/>
        <v>27.5</v>
      </c>
    </row>
    <row r="21" spans="1:10">
      <c r="E21" s="34"/>
      <c r="H21" s="35"/>
      <c r="I21" s="34"/>
    </row>
    <row r="22" spans="1:10">
      <c r="E22" s="34"/>
      <c r="G22" s="249" t="s">
        <v>275</v>
      </c>
      <c r="H22" s="92" t="s">
        <v>3</v>
      </c>
      <c r="I22" s="93">
        <f>SUM(I2:I3)</f>
        <v>90</v>
      </c>
      <c r="J22" s="52">
        <v>292</v>
      </c>
    </row>
    <row r="23" spans="1:10" ht="15.95">
      <c r="A23" t="s">
        <v>2</v>
      </c>
      <c r="B23" s="37" t="s">
        <v>276</v>
      </c>
      <c r="E23" s="34"/>
      <c r="G23" s="250"/>
      <c r="H23" s="92" t="s">
        <v>4</v>
      </c>
      <c r="I23" s="93">
        <f>SUM(I4:I11)</f>
        <v>638.4</v>
      </c>
    </row>
    <row r="24" spans="1:10">
      <c r="E24" s="34"/>
      <c r="G24" s="250"/>
      <c r="H24" s="92" t="s">
        <v>5</v>
      </c>
      <c r="I24" s="93">
        <f>SUM(I12:I20)</f>
        <v>559.20000000000005</v>
      </c>
    </row>
    <row r="25" spans="1:10">
      <c r="G25" s="251"/>
      <c r="H25" s="94" t="s">
        <v>15</v>
      </c>
      <c r="I25" s="77">
        <f>SUM(I22:I24)</f>
        <v>1287.5999999999999</v>
      </c>
    </row>
  </sheetData>
  <mergeCells count="1">
    <mergeCell ref="G22:G25"/>
  </mergeCells>
  <conditionalFormatting sqref="J3">
    <cfRule type="cellIs" dxfId="30" priority="1" operator="equal">
      <formula>"OC"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2FBF-E5EA-451D-82A5-E1250793266D}">
  <dimension ref="A1:V33"/>
  <sheetViews>
    <sheetView showGridLines="0" topLeftCell="D15" zoomScale="130" zoomScaleNormal="130" workbookViewId="0">
      <selection activeCell="I33" sqref="I33"/>
    </sheetView>
  </sheetViews>
  <sheetFormatPr defaultColWidth="11.42578125" defaultRowHeight="15"/>
  <cols>
    <col min="2" max="2" width="63" customWidth="1"/>
    <col min="3" max="3" width="21.42578125" customWidth="1"/>
    <col min="4" max="4" width="17.85546875" customWidth="1"/>
    <col min="5" max="5" width="20" bestFit="1" customWidth="1"/>
    <col min="6" max="6" width="15.42578125" bestFit="1" customWidth="1"/>
    <col min="7" max="7" width="33.42578125" customWidth="1"/>
    <col min="8" max="8" width="15.140625" customWidth="1"/>
    <col min="9" max="9" width="17.42578125" customWidth="1"/>
    <col min="10" max="11" width="17.42578125" style="46" customWidth="1"/>
  </cols>
  <sheetData>
    <row r="1" spans="1:22">
      <c r="A1" s="27" t="s">
        <v>34</v>
      </c>
      <c r="B1" s="27" t="s">
        <v>228</v>
      </c>
      <c r="C1" s="27" t="s">
        <v>26</v>
      </c>
      <c r="D1" s="27" t="s">
        <v>229</v>
      </c>
      <c r="E1" s="28" t="s">
        <v>230</v>
      </c>
      <c r="F1" s="27" t="s">
        <v>231</v>
      </c>
      <c r="G1" s="27" t="s">
        <v>232</v>
      </c>
      <c r="H1" s="29" t="s">
        <v>233</v>
      </c>
      <c r="I1" s="28" t="s">
        <v>234</v>
      </c>
      <c r="J1" s="44" t="s">
        <v>277</v>
      </c>
      <c r="M1" s="29" t="s">
        <v>5</v>
      </c>
      <c r="N1" s="29" t="s">
        <v>6</v>
      </c>
      <c r="O1" s="29" t="s">
        <v>7</v>
      </c>
      <c r="P1" s="29" t="s">
        <v>8</v>
      </c>
      <c r="Q1" s="29" t="s">
        <v>9</v>
      </c>
      <c r="R1" s="29" t="s">
        <v>10</v>
      </c>
      <c r="S1" s="29" t="s">
        <v>11</v>
      </c>
      <c r="T1" s="29" t="s">
        <v>12</v>
      </c>
      <c r="U1" s="29" t="s">
        <v>13</v>
      </c>
      <c r="V1" s="29" t="s">
        <v>14</v>
      </c>
    </row>
    <row r="2" spans="1:22" s="63" customFormat="1" ht="15.95">
      <c r="A2" s="39" t="s">
        <v>21</v>
      </c>
      <c r="B2" s="40" t="s">
        <v>236</v>
      </c>
      <c r="C2" s="40" t="s">
        <v>237</v>
      </c>
      <c r="D2" s="40" t="s">
        <v>238</v>
      </c>
      <c r="E2" s="61">
        <v>120</v>
      </c>
      <c r="F2" s="42">
        <v>46066</v>
      </c>
      <c r="G2" s="40" t="s">
        <v>243</v>
      </c>
      <c r="H2" s="62">
        <v>0.9</v>
      </c>
      <c r="I2" s="61">
        <f t="shared" ref="I2:I28" si="0">E2*H2</f>
        <v>108</v>
      </c>
      <c r="J2" s="45" t="s">
        <v>244</v>
      </c>
      <c r="K2" s="46"/>
    </row>
    <row r="3" spans="1:22" s="63" customFormat="1" ht="15.95">
      <c r="A3" s="39" t="s">
        <v>147</v>
      </c>
      <c r="B3" s="40" t="s">
        <v>278</v>
      </c>
      <c r="C3" s="40" t="s">
        <v>249</v>
      </c>
      <c r="D3" s="40" t="s">
        <v>247</v>
      </c>
      <c r="E3" s="61">
        <v>12</v>
      </c>
      <c r="F3" s="42">
        <v>46079</v>
      </c>
      <c r="G3" s="40" t="s">
        <v>261</v>
      </c>
      <c r="H3" s="62">
        <v>0.5</v>
      </c>
      <c r="I3" s="61">
        <f t="shared" si="0"/>
        <v>6</v>
      </c>
      <c r="J3" s="88" t="s">
        <v>279</v>
      </c>
      <c r="K3" s="46"/>
    </row>
    <row r="4" spans="1:22" s="63" customFormat="1" ht="15.95">
      <c r="A4" s="39" t="s">
        <v>21</v>
      </c>
      <c r="B4" s="40" t="s">
        <v>251</v>
      </c>
      <c r="C4" s="40" t="s">
        <v>237</v>
      </c>
      <c r="D4" s="40" t="s">
        <v>238</v>
      </c>
      <c r="E4" s="61">
        <v>736</v>
      </c>
      <c r="F4" s="42">
        <v>46080</v>
      </c>
      <c r="G4" s="40" t="s">
        <v>252</v>
      </c>
      <c r="H4" s="62">
        <v>0.6</v>
      </c>
      <c r="I4" s="61">
        <f t="shared" si="0"/>
        <v>441.59999999999997</v>
      </c>
      <c r="J4" s="89" t="s">
        <v>280</v>
      </c>
      <c r="K4" s="46"/>
    </row>
    <row r="5" spans="1:22" s="63" customFormat="1" ht="15.95">
      <c r="A5" s="39" t="s">
        <v>21</v>
      </c>
      <c r="B5" s="40" t="s">
        <v>281</v>
      </c>
      <c r="C5" s="40" t="s">
        <v>172</v>
      </c>
      <c r="D5" s="40" t="s">
        <v>238</v>
      </c>
      <c r="E5" s="61">
        <v>15</v>
      </c>
      <c r="F5" s="42">
        <v>46080</v>
      </c>
      <c r="G5" s="40" t="s">
        <v>252</v>
      </c>
      <c r="H5" s="62">
        <v>0.6</v>
      </c>
      <c r="I5" s="61">
        <f t="shared" si="0"/>
        <v>9</v>
      </c>
      <c r="J5" s="88" t="s">
        <v>279</v>
      </c>
      <c r="K5" s="46"/>
    </row>
    <row r="6" spans="1:22" s="63" customFormat="1" ht="15.95">
      <c r="A6" s="39" t="s">
        <v>2</v>
      </c>
      <c r="B6" s="40" t="s">
        <v>255</v>
      </c>
      <c r="C6" s="40" t="s">
        <v>80</v>
      </c>
      <c r="D6" s="40" t="s">
        <v>282</v>
      </c>
      <c r="E6" s="61">
        <v>3</v>
      </c>
      <c r="F6" s="42">
        <v>46080</v>
      </c>
      <c r="G6" s="40" t="s">
        <v>261</v>
      </c>
      <c r="H6" s="62">
        <v>0.9</v>
      </c>
      <c r="I6" s="61">
        <f t="shared" si="0"/>
        <v>2.7</v>
      </c>
      <c r="J6" s="89" t="s">
        <v>244</v>
      </c>
      <c r="K6" s="46"/>
    </row>
    <row r="7" spans="1:22" s="63" customFormat="1" ht="15.95">
      <c r="A7" s="39" t="s">
        <v>2</v>
      </c>
      <c r="B7" s="40" t="s">
        <v>283</v>
      </c>
      <c r="C7" s="40" t="s">
        <v>83</v>
      </c>
      <c r="D7" s="40" t="s">
        <v>242</v>
      </c>
      <c r="E7" s="61">
        <v>25</v>
      </c>
      <c r="F7" s="42">
        <v>46080</v>
      </c>
      <c r="G7" s="40" t="s">
        <v>261</v>
      </c>
      <c r="H7" s="62">
        <v>1</v>
      </c>
      <c r="I7" s="61">
        <f t="shared" si="0"/>
        <v>25</v>
      </c>
      <c r="J7" s="89" t="s">
        <v>244</v>
      </c>
      <c r="K7" s="46"/>
    </row>
    <row r="8" spans="1:22" s="63" customFormat="1" ht="15.95">
      <c r="A8" s="39" t="s">
        <v>2</v>
      </c>
      <c r="B8" s="40" t="s">
        <v>284</v>
      </c>
      <c r="C8" s="40" t="s">
        <v>67</v>
      </c>
      <c r="D8" s="40" t="s">
        <v>282</v>
      </c>
      <c r="E8" s="61">
        <v>50</v>
      </c>
      <c r="F8" s="42">
        <v>46080</v>
      </c>
      <c r="G8" s="40" t="s">
        <v>261</v>
      </c>
      <c r="H8" s="62">
        <v>1</v>
      </c>
      <c r="I8" s="61">
        <f t="shared" si="0"/>
        <v>50</v>
      </c>
      <c r="J8" s="89" t="s">
        <v>244</v>
      </c>
      <c r="K8" s="46"/>
    </row>
    <row r="9" spans="1:22" s="63" customFormat="1" ht="15.95">
      <c r="A9" s="39" t="s">
        <v>2</v>
      </c>
      <c r="B9" s="40" t="s">
        <v>284</v>
      </c>
      <c r="C9" s="40" t="s">
        <v>276</v>
      </c>
      <c r="D9" s="40" t="s">
        <v>282</v>
      </c>
      <c r="E9" s="61">
        <v>91</v>
      </c>
      <c r="F9" s="42">
        <v>46080</v>
      </c>
      <c r="G9" s="40" t="s">
        <v>261</v>
      </c>
      <c r="H9" s="62">
        <v>1</v>
      </c>
      <c r="I9" s="61">
        <f t="shared" si="0"/>
        <v>91</v>
      </c>
      <c r="J9" s="89" t="s">
        <v>244</v>
      </c>
      <c r="K9" s="46"/>
    </row>
    <row r="10" spans="1:22" s="63" customFormat="1" ht="15.95">
      <c r="A10" s="39" t="s">
        <v>2</v>
      </c>
      <c r="B10" s="40" t="s">
        <v>255</v>
      </c>
      <c r="C10" s="40" t="s">
        <v>100</v>
      </c>
      <c r="D10" s="40" t="s">
        <v>242</v>
      </c>
      <c r="E10" s="61">
        <v>3</v>
      </c>
      <c r="F10" s="42">
        <v>46081</v>
      </c>
      <c r="G10" s="40" t="s">
        <v>252</v>
      </c>
      <c r="H10" s="62">
        <v>0.5</v>
      </c>
      <c r="I10" s="61">
        <f t="shared" si="0"/>
        <v>1.5</v>
      </c>
      <c r="J10" s="89" t="s">
        <v>285</v>
      </c>
      <c r="K10" s="46"/>
    </row>
    <row r="11" spans="1:22" s="63" customFormat="1" ht="15.95">
      <c r="A11" s="39" t="s">
        <v>21</v>
      </c>
      <c r="B11" s="40" t="s">
        <v>286</v>
      </c>
      <c r="C11" s="40" t="s">
        <v>172</v>
      </c>
      <c r="D11" s="40" t="s">
        <v>238</v>
      </c>
      <c r="E11" s="64">
        <v>30</v>
      </c>
      <c r="F11" s="42">
        <v>46081</v>
      </c>
      <c r="G11" s="40" t="s">
        <v>261</v>
      </c>
      <c r="H11" s="62">
        <v>1</v>
      </c>
      <c r="I11" s="61">
        <f t="shared" si="0"/>
        <v>30</v>
      </c>
      <c r="J11" s="89" t="s">
        <v>279</v>
      </c>
      <c r="K11" s="46"/>
    </row>
    <row r="12" spans="1:22" ht="15.95">
      <c r="A12" s="4" t="s">
        <v>2</v>
      </c>
      <c r="B12" s="30" t="s">
        <v>253</v>
      </c>
      <c r="C12" s="30" t="s">
        <v>254</v>
      </c>
      <c r="D12" s="30" t="s">
        <v>242</v>
      </c>
      <c r="E12" s="59">
        <v>35</v>
      </c>
      <c r="F12" s="32">
        <v>46112</v>
      </c>
      <c r="G12" s="30" t="s">
        <v>252</v>
      </c>
      <c r="H12" s="60">
        <v>0.6</v>
      </c>
      <c r="I12" s="59">
        <f t="shared" si="0"/>
        <v>21</v>
      </c>
    </row>
    <row r="13" spans="1:22" ht="15.95">
      <c r="A13" s="4" t="s">
        <v>2</v>
      </c>
      <c r="B13" s="30" t="s">
        <v>259</v>
      </c>
      <c r="C13" s="30" t="s">
        <v>260</v>
      </c>
      <c r="D13" s="30" t="s">
        <v>247</v>
      </c>
      <c r="E13" s="31">
        <v>220</v>
      </c>
      <c r="F13" s="32">
        <v>46112</v>
      </c>
      <c r="G13" s="30" t="s">
        <v>261</v>
      </c>
      <c r="H13" s="33">
        <v>0.5</v>
      </c>
      <c r="I13" s="31">
        <f t="shared" si="0"/>
        <v>110</v>
      </c>
    </row>
    <row r="14" spans="1:22" ht="15.95">
      <c r="A14" s="4" t="s">
        <v>2</v>
      </c>
      <c r="B14" s="30" t="s">
        <v>262</v>
      </c>
      <c r="C14" s="30" t="s">
        <v>263</v>
      </c>
      <c r="D14" s="30" t="s">
        <v>247</v>
      </c>
      <c r="E14" s="31">
        <v>180</v>
      </c>
      <c r="F14" s="32">
        <v>46112</v>
      </c>
      <c r="G14" s="30" t="s">
        <v>239</v>
      </c>
      <c r="H14" s="33">
        <v>0.7</v>
      </c>
      <c r="I14" s="31">
        <f t="shared" si="0"/>
        <v>125.99999999999999</v>
      </c>
    </row>
    <row r="15" spans="1:22" ht="15.95">
      <c r="A15" s="4" t="s">
        <v>2</v>
      </c>
      <c r="B15" s="30" t="s">
        <v>264</v>
      </c>
      <c r="C15" s="30" t="s">
        <v>265</v>
      </c>
      <c r="D15" s="30" t="s">
        <v>247</v>
      </c>
      <c r="E15" s="31">
        <v>86</v>
      </c>
      <c r="F15" s="32">
        <v>46112</v>
      </c>
      <c r="G15" s="30" t="s">
        <v>239</v>
      </c>
      <c r="H15" s="33">
        <v>0.7</v>
      </c>
      <c r="I15" s="31">
        <f t="shared" si="0"/>
        <v>60.199999999999996</v>
      </c>
    </row>
    <row r="16" spans="1:22" ht="15.95">
      <c r="A16" s="4" t="s">
        <v>2</v>
      </c>
      <c r="B16" s="30" t="s">
        <v>266</v>
      </c>
      <c r="C16" s="30" t="s">
        <v>267</v>
      </c>
      <c r="D16" s="30" t="s">
        <v>242</v>
      </c>
      <c r="E16" s="31">
        <v>75</v>
      </c>
      <c r="F16" s="32">
        <v>46112</v>
      </c>
      <c r="G16" s="30" t="s">
        <v>243</v>
      </c>
      <c r="H16" s="33">
        <v>0.9</v>
      </c>
      <c r="I16" s="31">
        <f t="shared" si="0"/>
        <v>67.5</v>
      </c>
    </row>
    <row r="17" spans="1:22" ht="15.95">
      <c r="A17" s="4" t="s">
        <v>2</v>
      </c>
      <c r="B17" s="30" t="s">
        <v>256</v>
      </c>
      <c r="C17" s="30" t="s">
        <v>257</v>
      </c>
      <c r="D17" s="30" t="s">
        <v>242</v>
      </c>
      <c r="E17" s="31">
        <v>145</v>
      </c>
      <c r="F17" s="32">
        <v>46112</v>
      </c>
      <c r="G17" s="30" t="s">
        <v>239</v>
      </c>
      <c r="H17" s="33">
        <v>0.5</v>
      </c>
      <c r="I17" s="31">
        <f t="shared" si="0"/>
        <v>72.5</v>
      </c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95">
      <c r="A18" s="4" t="s">
        <v>2</v>
      </c>
      <c r="B18" s="30" t="s">
        <v>268</v>
      </c>
      <c r="C18" s="30" t="s">
        <v>269</v>
      </c>
      <c r="D18" s="30" t="s">
        <v>242</v>
      </c>
      <c r="E18" s="31">
        <v>73</v>
      </c>
      <c r="F18" s="32">
        <v>46112</v>
      </c>
      <c r="G18" s="30" t="s">
        <v>261</v>
      </c>
      <c r="H18" s="33">
        <v>0.5</v>
      </c>
      <c r="I18" s="31">
        <f t="shared" si="0"/>
        <v>36.5</v>
      </c>
    </row>
    <row r="19" spans="1:22" ht="15.95">
      <c r="A19" s="4" t="s">
        <v>2</v>
      </c>
      <c r="B19" s="30" t="s">
        <v>250</v>
      </c>
      <c r="C19" s="30" t="s">
        <v>246</v>
      </c>
      <c r="D19" s="30" t="s">
        <v>247</v>
      </c>
      <c r="E19" s="31">
        <v>39</v>
      </c>
      <c r="F19" s="32">
        <v>46112</v>
      </c>
      <c r="G19" s="30" t="s">
        <v>239</v>
      </c>
      <c r="H19" s="33">
        <v>0.7</v>
      </c>
      <c r="I19" s="31">
        <f t="shared" si="0"/>
        <v>27.299999999999997</v>
      </c>
    </row>
    <row r="20" spans="1:22" ht="15.95">
      <c r="A20" s="4" t="s">
        <v>2</v>
      </c>
      <c r="B20" s="30" t="s">
        <v>287</v>
      </c>
      <c r="C20" s="30" t="s">
        <v>75</v>
      </c>
      <c r="D20" s="30" t="s">
        <v>247</v>
      </c>
      <c r="E20" s="31">
        <v>100</v>
      </c>
      <c r="F20" s="32">
        <v>46112</v>
      </c>
      <c r="G20" s="30" t="s">
        <v>239</v>
      </c>
      <c r="H20" s="33">
        <v>0.7</v>
      </c>
      <c r="I20" s="31">
        <f t="shared" si="0"/>
        <v>70</v>
      </c>
    </row>
    <row r="21" spans="1:22" ht="15.95">
      <c r="A21" s="4" t="s">
        <v>2</v>
      </c>
      <c r="B21" s="30" t="s">
        <v>271</v>
      </c>
      <c r="C21" s="30" t="s">
        <v>272</v>
      </c>
      <c r="D21" s="30" t="s">
        <v>238</v>
      </c>
      <c r="E21" s="31">
        <v>70</v>
      </c>
      <c r="F21" s="32">
        <v>46112</v>
      </c>
      <c r="G21" s="30" t="s">
        <v>261</v>
      </c>
      <c r="H21" s="33">
        <v>0.5</v>
      </c>
      <c r="I21" s="31">
        <f t="shared" si="0"/>
        <v>35</v>
      </c>
    </row>
    <row r="22" spans="1:22" ht="15.95">
      <c r="A22" s="4" t="s">
        <v>2</v>
      </c>
      <c r="B22" s="30" t="s">
        <v>288</v>
      </c>
      <c r="C22" s="30" t="s">
        <v>237</v>
      </c>
      <c r="D22" s="30" t="s">
        <v>247</v>
      </c>
      <c r="E22" s="31">
        <v>206</v>
      </c>
      <c r="F22" s="32">
        <v>46112</v>
      </c>
      <c r="G22" s="30" t="s">
        <v>261</v>
      </c>
      <c r="H22" s="33">
        <v>0.9</v>
      </c>
      <c r="I22" s="31">
        <f t="shared" si="0"/>
        <v>185.4</v>
      </c>
    </row>
    <row r="23" spans="1:22" ht="15.95">
      <c r="A23" s="4" t="s">
        <v>147</v>
      </c>
      <c r="B23" s="30" t="s">
        <v>245</v>
      </c>
      <c r="C23" s="30" t="s">
        <v>246</v>
      </c>
      <c r="D23" s="30" t="s">
        <v>247</v>
      </c>
      <c r="E23" s="31">
        <v>10</v>
      </c>
      <c r="F23" s="32">
        <v>46112</v>
      </c>
      <c r="G23" s="30" t="s">
        <v>239</v>
      </c>
      <c r="H23" s="33">
        <v>0.7</v>
      </c>
      <c r="I23" s="31">
        <f t="shared" si="0"/>
        <v>7</v>
      </c>
    </row>
    <row r="24" spans="1:22" ht="15.95">
      <c r="A24" s="4" t="s">
        <v>21</v>
      </c>
      <c r="B24" s="30" t="s">
        <v>289</v>
      </c>
      <c r="C24" s="30" t="s">
        <v>48</v>
      </c>
      <c r="D24" s="30" t="s">
        <v>238</v>
      </c>
      <c r="E24" s="31">
        <v>60</v>
      </c>
      <c r="F24" s="32">
        <v>46112</v>
      </c>
      <c r="G24" s="30" t="s">
        <v>252</v>
      </c>
      <c r="H24" s="33">
        <v>0.3</v>
      </c>
      <c r="I24" s="31">
        <f t="shared" si="0"/>
        <v>18</v>
      </c>
    </row>
    <row r="25" spans="1:22" ht="15.95">
      <c r="A25" s="4" t="s">
        <v>21</v>
      </c>
      <c r="B25" s="30" t="s">
        <v>290</v>
      </c>
      <c r="C25" s="30" t="s">
        <v>108</v>
      </c>
      <c r="D25" s="30" t="s">
        <v>238</v>
      </c>
      <c r="E25" s="31">
        <v>100</v>
      </c>
      <c r="F25" s="32">
        <v>46112</v>
      </c>
      <c r="G25" s="30" t="s">
        <v>261</v>
      </c>
      <c r="H25" s="33">
        <v>0.3</v>
      </c>
      <c r="I25" s="31">
        <f t="shared" si="0"/>
        <v>30</v>
      </c>
    </row>
    <row r="26" spans="1:22" ht="15.95">
      <c r="A26" s="4" t="s">
        <v>21</v>
      </c>
      <c r="B26" s="30" t="s">
        <v>291</v>
      </c>
      <c r="C26" s="30" t="s">
        <v>292</v>
      </c>
      <c r="D26" s="30" t="s">
        <v>238</v>
      </c>
      <c r="E26" s="31">
        <v>10</v>
      </c>
      <c r="F26" s="32">
        <v>46112</v>
      </c>
      <c r="G26" s="30" t="s">
        <v>261</v>
      </c>
      <c r="H26" s="33">
        <v>0.3</v>
      </c>
      <c r="I26" s="31">
        <f t="shared" si="0"/>
        <v>3</v>
      </c>
    </row>
    <row r="27" spans="1:22" ht="15.95">
      <c r="A27" s="4" t="s">
        <v>21</v>
      </c>
      <c r="B27" s="30" t="s">
        <v>293</v>
      </c>
      <c r="C27" s="30" t="s">
        <v>169</v>
      </c>
      <c r="D27" s="30" t="s">
        <v>238</v>
      </c>
      <c r="E27" s="31">
        <v>20</v>
      </c>
      <c r="F27" s="32">
        <v>46112</v>
      </c>
      <c r="G27" s="30" t="s">
        <v>261</v>
      </c>
      <c r="H27" s="33">
        <v>0.05</v>
      </c>
      <c r="I27" s="31">
        <f t="shared" si="0"/>
        <v>1</v>
      </c>
    </row>
    <row r="28" spans="1:22" ht="15.95">
      <c r="A28" s="4" t="s">
        <v>21</v>
      </c>
      <c r="B28" s="30" t="s">
        <v>258</v>
      </c>
      <c r="C28" s="30" t="s">
        <v>294</v>
      </c>
      <c r="D28" s="30" t="s">
        <v>238</v>
      </c>
      <c r="E28" s="31">
        <v>50</v>
      </c>
      <c r="F28" s="32">
        <v>46112</v>
      </c>
      <c r="G28" s="30" t="s">
        <v>243</v>
      </c>
      <c r="H28" s="33">
        <v>0.9</v>
      </c>
      <c r="I28" s="31">
        <f t="shared" si="0"/>
        <v>45</v>
      </c>
    </row>
    <row r="29" spans="1:22">
      <c r="E29" s="34"/>
      <c r="H29" s="35"/>
      <c r="I29" s="34"/>
      <c r="M29" s="65">
        <f>SUM(M2:M28)</f>
        <v>0</v>
      </c>
      <c r="N29" s="65">
        <f t="shared" ref="N29:V29" si="1">SUM(N2:N28)</f>
        <v>0</v>
      </c>
      <c r="O29" s="65">
        <f t="shared" si="1"/>
        <v>0</v>
      </c>
      <c r="P29" s="65">
        <f t="shared" si="1"/>
        <v>0</v>
      </c>
      <c r="Q29" s="65">
        <f t="shared" si="1"/>
        <v>0</v>
      </c>
      <c r="R29" s="65">
        <f t="shared" si="1"/>
        <v>0</v>
      </c>
      <c r="S29" s="65">
        <f t="shared" si="1"/>
        <v>0</v>
      </c>
      <c r="T29" s="65">
        <f t="shared" si="1"/>
        <v>0</v>
      </c>
      <c r="U29" s="65">
        <f t="shared" si="1"/>
        <v>0</v>
      </c>
      <c r="V29" s="65">
        <f t="shared" si="1"/>
        <v>0</v>
      </c>
    </row>
    <row r="30" spans="1:22">
      <c r="E30" s="34"/>
      <c r="G30" s="252" t="s">
        <v>295</v>
      </c>
      <c r="H30" s="95" t="s">
        <v>3</v>
      </c>
      <c r="I30" s="96">
        <f>'Proyección Q1 (Enero)'!J22</f>
        <v>292</v>
      </c>
    </row>
    <row r="31" spans="1:22">
      <c r="B31" s="37"/>
      <c r="E31" s="34"/>
      <c r="G31" s="253"/>
      <c r="H31" s="92" t="s">
        <v>4</v>
      </c>
      <c r="I31" s="93">
        <f>SUM(I2:I11)</f>
        <v>764.8</v>
      </c>
      <c r="J31" s="52">
        <f>Panel!F96</f>
        <v>473.7</v>
      </c>
      <c r="K31" s="90">
        <f>J31-I31</f>
        <v>-291.09999999999997</v>
      </c>
    </row>
    <row r="32" spans="1:22">
      <c r="E32" s="34"/>
      <c r="G32" s="253"/>
      <c r="H32" s="92" t="s">
        <v>5</v>
      </c>
      <c r="I32" s="93">
        <f>SUM(I12:I28)</f>
        <v>915.4</v>
      </c>
    </row>
    <row r="33" spans="7:9">
      <c r="G33" s="254"/>
      <c r="H33" s="94" t="s">
        <v>15</v>
      </c>
      <c r="I33" s="77">
        <f>SUM(I30:I32)</f>
        <v>1972.1999999999998</v>
      </c>
    </row>
  </sheetData>
  <autoFilter ref="A1:I28" xr:uid="{39452FBF-E5EA-451D-82A5-E1250793266D}"/>
  <sortState xmlns:xlrd2="http://schemas.microsoft.com/office/spreadsheetml/2017/richdata2" ref="A2:I28">
    <sortCondition ref="F2:F28"/>
  </sortState>
  <mergeCells count="1">
    <mergeCell ref="G30:G33"/>
  </mergeCells>
  <phoneticPr fontId="24" type="noConversion"/>
  <conditionalFormatting sqref="J2:J3">
    <cfRule type="cellIs" dxfId="29" priority="5" operator="equal">
      <formula>"OC"</formula>
    </cfRule>
  </conditionalFormatting>
  <conditionalFormatting sqref="J4">
    <cfRule type="cellIs" dxfId="28" priority="3" operator="equal">
      <formula>"Perdido"</formula>
    </cfRule>
  </conditionalFormatting>
  <conditionalFormatting sqref="J5:J9">
    <cfRule type="cellIs" dxfId="27" priority="2" operator="equal">
      <formula>"OC"</formula>
    </cfRule>
  </conditionalFormatting>
  <conditionalFormatting sqref="J11">
    <cfRule type="cellIs" dxfId="26" priority="1" operator="equal">
      <formula>"OC"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5A91-43CB-CE46-8DE6-A7D09A6A8237}">
  <sheetPr filterMode="1"/>
  <dimension ref="A1:U47"/>
  <sheetViews>
    <sheetView showGridLines="0" topLeftCell="C1" zoomScale="140" zoomScaleNormal="140" workbookViewId="0">
      <pane ySplit="1" topLeftCell="A8" activePane="bottomLeft" state="frozen"/>
      <selection pane="bottomLeft" activeCell="K32" sqref="K32"/>
      <selection activeCell="C1" sqref="C1"/>
    </sheetView>
  </sheetViews>
  <sheetFormatPr defaultColWidth="11.42578125" defaultRowHeight="15"/>
  <cols>
    <col min="2" max="2" width="49" customWidth="1"/>
    <col min="3" max="3" width="32.85546875" customWidth="1"/>
    <col min="4" max="4" width="16.28515625" customWidth="1"/>
    <col min="5" max="5" width="15.140625" bestFit="1" customWidth="1"/>
    <col min="7" max="7" width="27.7109375" customWidth="1"/>
    <col min="8" max="8" width="10.85546875" style="35"/>
    <col min="9" max="9" width="13.85546875" customWidth="1"/>
    <col min="10" max="10" width="16" style="46" bestFit="1" customWidth="1"/>
    <col min="11" max="11" width="16" style="46" customWidth="1"/>
    <col min="12" max="12" width="16" customWidth="1"/>
    <col min="14" max="16" width="13" bestFit="1" customWidth="1"/>
    <col min="17" max="17" width="14.140625" bestFit="1" customWidth="1"/>
    <col min="18" max="20" width="13" bestFit="1" customWidth="1"/>
  </cols>
  <sheetData>
    <row r="1" spans="1:21">
      <c r="A1" s="27" t="s">
        <v>34</v>
      </c>
      <c r="B1" s="27" t="s">
        <v>228</v>
      </c>
      <c r="C1" s="27" t="s">
        <v>26</v>
      </c>
      <c r="D1" s="27" t="s">
        <v>229</v>
      </c>
      <c r="E1" s="28" t="s">
        <v>230</v>
      </c>
      <c r="F1" s="27" t="s">
        <v>231</v>
      </c>
      <c r="G1" s="27" t="s">
        <v>232</v>
      </c>
      <c r="H1" s="29" t="s">
        <v>233</v>
      </c>
      <c r="I1" s="28" t="s">
        <v>234</v>
      </c>
      <c r="J1" s="114" t="s">
        <v>296</v>
      </c>
      <c r="L1" s="46"/>
      <c r="N1" s="29" t="s">
        <v>7</v>
      </c>
      <c r="O1" s="29" t="s">
        <v>8</v>
      </c>
      <c r="P1" s="29" t="s">
        <v>9</v>
      </c>
      <c r="Q1" s="29" t="s">
        <v>10</v>
      </c>
      <c r="R1" s="29" t="s">
        <v>11</v>
      </c>
      <c r="S1" s="29" t="s">
        <v>12</v>
      </c>
      <c r="T1" s="29" t="s">
        <v>13</v>
      </c>
      <c r="U1" s="29" t="s">
        <v>14</v>
      </c>
    </row>
    <row r="2" spans="1:21" ht="15.95">
      <c r="A2" s="4" t="s">
        <v>2</v>
      </c>
      <c r="B2" s="30" t="s">
        <v>256</v>
      </c>
      <c r="C2" s="30" t="s">
        <v>257</v>
      </c>
      <c r="D2" s="30" t="s">
        <v>242</v>
      </c>
      <c r="E2" s="91">
        <v>145</v>
      </c>
      <c r="F2" s="32">
        <v>46112</v>
      </c>
      <c r="G2" s="30" t="s">
        <v>239</v>
      </c>
      <c r="H2" s="33">
        <v>0.5</v>
      </c>
      <c r="I2" s="4">
        <f t="shared" ref="I2:I27" si="0">E2*H2</f>
        <v>72.5</v>
      </c>
      <c r="J2" s="89" t="s">
        <v>244</v>
      </c>
      <c r="L2" s="46"/>
      <c r="N2" s="93">
        <f>I2*20%</f>
        <v>14.5</v>
      </c>
      <c r="O2" s="93">
        <f>I2*25%</f>
        <v>18.125</v>
      </c>
      <c r="P2" s="93"/>
      <c r="Q2" s="93"/>
      <c r="R2" s="93">
        <f>I2*50%</f>
        <v>36.25</v>
      </c>
      <c r="S2" s="93">
        <f>I2*5%</f>
        <v>3.625</v>
      </c>
      <c r="T2" s="93"/>
      <c r="U2" s="93"/>
    </row>
    <row r="3" spans="1:21" ht="15.95" hidden="1">
      <c r="A3" s="99"/>
      <c r="B3" s="99"/>
      <c r="C3" s="99"/>
      <c r="D3" s="99" t="s">
        <v>242</v>
      </c>
      <c r="E3" s="99"/>
      <c r="F3" s="99"/>
      <c r="G3" s="99"/>
      <c r="H3" s="99"/>
      <c r="I3" s="99"/>
      <c r="J3" s="115"/>
      <c r="L3" s="46"/>
      <c r="N3" s="100"/>
      <c r="O3" s="100"/>
      <c r="P3" s="100"/>
      <c r="Q3" s="100">
        <f>H2*20.7</f>
        <v>10.35</v>
      </c>
      <c r="R3" s="100">
        <f>H2*3</f>
        <v>1.5</v>
      </c>
      <c r="S3" s="100">
        <f>H2*4.3</f>
        <v>2.15</v>
      </c>
      <c r="T3" s="100">
        <f>H2*4.5</f>
        <v>2.25</v>
      </c>
      <c r="U3" s="100"/>
    </row>
    <row r="4" spans="1:21" ht="15.95">
      <c r="A4" s="4" t="s">
        <v>2</v>
      </c>
      <c r="B4" s="30" t="s">
        <v>253</v>
      </c>
      <c r="C4" s="30" t="s">
        <v>297</v>
      </c>
      <c r="D4" s="30" t="s">
        <v>242</v>
      </c>
      <c r="E4" s="91">
        <v>35</v>
      </c>
      <c r="F4" s="32">
        <v>46094</v>
      </c>
      <c r="G4" s="30" t="s">
        <v>252</v>
      </c>
      <c r="H4" s="33">
        <v>0.6</v>
      </c>
      <c r="I4" s="4">
        <f t="shared" si="0"/>
        <v>21</v>
      </c>
      <c r="J4" s="89" t="s">
        <v>244</v>
      </c>
      <c r="K4" s="117"/>
      <c r="L4" s="118"/>
      <c r="N4" s="93"/>
      <c r="O4" s="93"/>
      <c r="P4" s="93"/>
      <c r="Q4" s="93"/>
      <c r="R4" s="93"/>
      <c r="S4" s="93"/>
      <c r="T4" s="93"/>
      <c r="U4" s="93"/>
    </row>
    <row r="5" spans="1:21" ht="15.95">
      <c r="A5" s="4" t="s">
        <v>2</v>
      </c>
      <c r="B5" s="30" t="s">
        <v>298</v>
      </c>
      <c r="C5" s="30" t="s">
        <v>299</v>
      </c>
      <c r="D5" s="30" t="s">
        <v>282</v>
      </c>
      <c r="E5" s="91">
        <v>8</v>
      </c>
      <c r="F5" s="32">
        <v>46112</v>
      </c>
      <c r="G5" s="30" t="s">
        <v>261</v>
      </c>
      <c r="H5" s="33">
        <v>0.3</v>
      </c>
      <c r="I5" s="4">
        <f t="shared" si="0"/>
        <v>2.4</v>
      </c>
      <c r="J5" s="89" t="s">
        <v>300</v>
      </c>
      <c r="N5" s="93"/>
      <c r="O5" s="93"/>
      <c r="P5" s="93"/>
      <c r="Q5" s="93"/>
      <c r="R5" s="93"/>
      <c r="S5" s="93"/>
      <c r="T5" s="93"/>
      <c r="U5" s="93"/>
    </row>
    <row r="6" spans="1:21" ht="15.95">
      <c r="A6" s="4" t="s">
        <v>2</v>
      </c>
      <c r="B6" s="30" t="s">
        <v>301</v>
      </c>
      <c r="C6" s="30" t="s">
        <v>302</v>
      </c>
      <c r="D6" s="30" t="s">
        <v>247</v>
      </c>
      <c r="E6" s="91">
        <v>10</v>
      </c>
      <c r="F6" s="32">
        <v>46112</v>
      </c>
      <c r="G6" s="30" t="s">
        <v>261</v>
      </c>
      <c r="H6" s="33">
        <v>0.7</v>
      </c>
      <c r="I6" s="4">
        <f t="shared" si="0"/>
        <v>7</v>
      </c>
      <c r="J6" s="89" t="s">
        <v>300</v>
      </c>
      <c r="N6" s="93"/>
      <c r="O6" s="93"/>
      <c r="P6" s="93"/>
      <c r="Q6" s="93"/>
      <c r="R6" s="93"/>
      <c r="S6" s="93"/>
      <c r="T6" s="93"/>
      <c r="U6" s="93"/>
    </row>
    <row r="7" spans="1:21" ht="15.95">
      <c r="A7" s="4" t="s">
        <v>2</v>
      </c>
      <c r="B7" s="30" t="s">
        <v>303</v>
      </c>
      <c r="C7" s="30" t="s">
        <v>304</v>
      </c>
      <c r="D7" s="30" t="s">
        <v>247</v>
      </c>
      <c r="E7" s="91">
        <v>50</v>
      </c>
      <c r="F7" s="32">
        <v>46112</v>
      </c>
      <c r="G7" s="30" t="s">
        <v>261</v>
      </c>
      <c r="H7" s="33">
        <v>0.5</v>
      </c>
      <c r="I7" s="4">
        <f t="shared" si="0"/>
        <v>25</v>
      </c>
      <c r="J7" s="89" t="s">
        <v>300</v>
      </c>
      <c r="N7" s="93"/>
      <c r="O7" s="93"/>
      <c r="P7" s="93"/>
      <c r="Q7" s="93"/>
      <c r="R7" s="93"/>
      <c r="S7" s="93"/>
      <c r="T7" s="93"/>
      <c r="U7" s="93"/>
    </row>
    <row r="8" spans="1:21" ht="15.95">
      <c r="A8" s="4" t="s">
        <v>2</v>
      </c>
      <c r="B8" s="30" t="s">
        <v>305</v>
      </c>
      <c r="C8" s="30" t="s">
        <v>306</v>
      </c>
      <c r="D8" s="30" t="s">
        <v>247</v>
      </c>
      <c r="E8" s="91">
        <v>64</v>
      </c>
      <c r="F8" s="32">
        <v>46112</v>
      </c>
      <c r="G8" s="30" t="s">
        <v>239</v>
      </c>
      <c r="H8" s="33">
        <v>0.9</v>
      </c>
      <c r="I8" s="4">
        <f t="shared" si="0"/>
        <v>57.6</v>
      </c>
      <c r="J8" s="89" t="s">
        <v>244</v>
      </c>
      <c r="K8" s="117"/>
      <c r="L8" s="118"/>
      <c r="N8" s="93">
        <f>I8*50%</f>
        <v>28.8</v>
      </c>
      <c r="O8" s="93"/>
      <c r="P8" s="93"/>
      <c r="Q8" s="93"/>
      <c r="R8" s="93"/>
      <c r="S8" s="93">
        <f>N8</f>
        <v>28.8</v>
      </c>
      <c r="T8" s="93"/>
      <c r="U8" s="93"/>
    </row>
    <row r="9" spans="1:21" ht="15.95" hidden="1">
      <c r="A9" s="99"/>
      <c r="B9" s="99"/>
      <c r="C9" s="99"/>
      <c r="D9" s="99" t="s">
        <v>247</v>
      </c>
      <c r="E9" s="99"/>
      <c r="F9" s="99"/>
      <c r="G9" s="99"/>
      <c r="H9" s="99"/>
      <c r="I9" s="99"/>
      <c r="J9" s="115"/>
      <c r="K9"/>
      <c r="N9" s="100"/>
      <c r="O9" s="100"/>
      <c r="P9" s="100"/>
      <c r="Q9" s="100"/>
      <c r="R9" s="100"/>
      <c r="S9" s="100"/>
      <c r="T9" s="100"/>
      <c r="U9" s="100"/>
    </row>
    <row r="10" spans="1:21" ht="15.95">
      <c r="A10" s="4" t="s">
        <v>2</v>
      </c>
      <c r="B10" s="30" t="s">
        <v>307</v>
      </c>
      <c r="C10" s="30" t="s">
        <v>308</v>
      </c>
      <c r="D10" s="30" t="s">
        <v>238</v>
      </c>
      <c r="E10" s="91">
        <v>12</v>
      </c>
      <c r="F10" s="32">
        <v>46112</v>
      </c>
      <c r="G10" s="30" t="s">
        <v>261</v>
      </c>
      <c r="H10" s="33">
        <v>0.9</v>
      </c>
      <c r="I10" s="4">
        <f t="shared" si="0"/>
        <v>10.8</v>
      </c>
      <c r="J10" s="89" t="s">
        <v>244</v>
      </c>
      <c r="N10" s="93">
        <f>I10</f>
        <v>10.8</v>
      </c>
      <c r="O10" s="93"/>
      <c r="P10" s="93"/>
      <c r="Q10" s="93"/>
      <c r="R10" s="93"/>
      <c r="S10" s="93"/>
      <c r="T10" s="93"/>
      <c r="U10" s="93"/>
    </row>
    <row r="11" spans="1:21" ht="15.95" hidden="1">
      <c r="A11" s="99"/>
      <c r="B11" s="99"/>
      <c r="C11" s="99"/>
      <c r="D11" s="99" t="s">
        <v>238</v>
      </c>
      <c r="E11" s="99"/>
      <c r="F11" s="99"/>
      <c r="G11" s="99"/>
      <c r="H11" s="99"/>
      <c r="I11" s="99"/>
      <c r="J11" s="115"/>
      <c r="K11"/>
      <c r="N11" s="100"/>
      <c r="O11" s="100"/>
      <c r="P11" s="100">
        <f>H10*10</f>
        <v>9</v>
      </c>
      <c r="Q11" s="100"/>
      <c r="R11" s="100"/>
      <c r="S11" s="100"/>
      <c r="T11" s="100"/>
      <c r="U11" s="100"/>
    </row>
    <row r="12" spans="1:21" ht="15.95">
      <c r="A12" s="4" t="s">
        <v>2</v>
      </c>
      <c r="B12" s="30" t="s">
        <v>288</v>
      </c>
      <c r="C12" s="30" t="s">
        <v>237</v>
      </c>
      <c r="D12" s="30" t="s">
        <v>247</v>
      </c>
      <c r="E12" s="91">
        <v>206</v>
      </c>
      <c r="F12" s="32">
        <v>46112</v>
      </c>
      <c r="G12" s="30" t="s">
        <v>252</v>
      </c>
      <c r="H12" s="33">
        <v>0.9</v>
      </c>
      <c r="I12" s="4">
        <f t="shared" si="0"/>
        <v>185.4</v>
      </c>
      <c r="J12" s="89" t="s">
        <v>244</v>
      </c>
      <c r="K12" s="117"/>
      <c r="L12" s="118"/>
      <c r="N12" s="93">
        <f>I12*15%*49%</f>
        <v>13.626899999999999</v>
      </c>
      <c r="O12" s="93">
        <f>I12*15%*49%</f>
        <v>13.626899999999999</v>
      </c>
      <c r="P12" s="93"/>
      <c r="Q12" s="93">
        <f>I12*15%*49%+I12*51%</f>
        <v>108.18090000000001</v>
      </c>
      <c r="R12" s="93">
        <f>I12*20%*49%</f>
        <v>18.169200000000004</v>
      </c>
      <c r="S12" s="93">
        <f>I12*20%*49%</f>
        <v>18.169200000000004</v>
      </c>
      <c r="T12" s="93">
        <f>I12*10%*49%</f>
        <v>9.0846000000000018</v>
      </c>
      <c r="U12" s="93">
        <f>I12*5%*49%</f>
        <v>4.5423000000000009</v>
      </c>
    </row>
    <row r="13" spans="1:21" ht="15.95" hidden="1">
      <c r="A13" s="99"/>
      <c r="B13" s="99"/>
      <c r="C13" s="99"/>
      <c r="D13" s="99" t="s">
        <v>247</v>
      </c>
      <c r="E13" s="99"/>
      <c r="F13" s="99"/>
      <c r="G13" s="99"/>
      <c r="H13" s="99"/>
      <c r="I13" s="99"/>
      <c r="J13" s="115"/>
      <c r="K13"/>
      <c r="N13" s="100"/>
      <c r="O13" s="100">
        <f>H12*5.2</f>
        <v>4.6800000000000006</v>
      </c>
      <c r="P13" s="100"/>
      <c r="Q13" s="100"/>
      <c r="R13" s="100">
        <f>H12*78.4</f>
        <v>70.56</v>
      </c>
      <c r="S13" s="100">
        <f>O13</f>
        <v>4.6800000000000006</v>
      </c>
      <c r="T13" s="100">
        <f>O13</f>
        <v>4.6800000000000006</v>
      </c>
      <c r="U13" s="100">
        <f>O13</f>
        <v>4.6800000000000006</v>
      </c>
    </row>
    <row r="14" spans="1:21" ht="15.95">
      <c r="A14" s="4" t="s">
        <v>309</v>
      </c>
      <c r="B14" s="30" t="s">
        <v>310</v>
      </c>
      <c r="C14" s="30" t="s">
        <v>311</v>
      </c>
      <c r="D14" s="30" t="s">
        <v>247</v>
      </c>
      <c r="E14" s="91">
        <v>70</v>
      </c>
      <c r="F14" s="32">
        <v>46112</v>
      </c>
      <c r="G14" s="30" t="s">
        <v>252</v>
      </c>
      <c r="H14" s="33">
        <v>0.6</v>
      </c>
      <c r="I14" s="4">
        <f t="shared" si="0"/>
        <v>42</v>
      </c>
      <c r="J14" s="116" t="s">
        <v>312</v>
      </c>
      <c r="N14" s="93"/>
      <c r="O14" s="93"/>
      <c r="P14" s="93"/>
      <c r="Q14" s="93"/>
      <c r="R14" s="93"/>
      <c r="S14" s="93"/>
      <c r="T14" s="93"/>
      <c r="U14" s="93"/>
    </row>
    <row r="15" spans="1:21" ht="15.95">
      <c r="A15" s="4" t="s">
        <v>21</v>
      </c>
      <c r="B15" s="30" t="s">
        <v>313</v>
      </c>
      <c r="C15" s="30" t="s">
        <v>172</v>
      </c>
      <c r="D15" s="30" t="s">
        <v>238</v>
      </c>
      <c r="E15" s="91">
        <v>31</v>
      </c>
      <c r="F15" s="32">
        <v>46112</v>
      </c>
      <c r="G15" s="30" t="s">
        <v>239</v>
      </c>
      <c r="H15" s="33">
        <v>0.9</v>
      </c>
      <c r="I15" s="4">
        <f t="shared" si="0"/>
        <v>27.900000000000002</v>
      </c>
      <c r="J15" s="89" t="s">
        <v>300</v>
      </c>
      <c r="N15" s="93">
        <f>I15/5</f>
        <v>5.58</v>
      </c>
      <c r="O15" s="93">
        <f>N15</f>
        <v>5.58</v>
      </c>
      <c r="P15" s="93">
        <f>O15</f>
        <v>5.58</v>
      </c>
      <c r="Q15" s="93">
        <f>P15</f>
        <v>5.58</v>
      </c>
      <c r="R15" s="93">
        <f>Q15</f>
        <v>5.58</v>
      </c>
      <c r="S15" s="93"/>
      <c r="T15" s="93"/>
      <c r="U15" s="93"/>
    </row>
    <row r="16" spans="1:21" ht="15.95" hidden="1">
      <c r="A16" s="99"/>
      <c r="B16" s="99"/>
      <c r="C16" s="99"/>
      <c r="D16" s="99" t="s">
        <v>238</v>
      </c>
      <c r="E16" s="99"/>
      <c r="F16" s="99"/>
      <c r="G16" s="99"/>
      <c r="H16" s="99"/>
      <c r="I16" s="99"/>
      <c r="J16" s="115"/>
      <c r="K16"/>
      <c r="N16" s="100"/>
      <c r="O16" s="100"/>
      <c r="P16" s="100"/>
      <c r="Q16" s="100"/>
      <c r="R16" s="100"/>
      <c r="S16" s="100"/>
      <c r="T16" s="100"/>
      <c r="U16" s="100"/>
    </row>
    <row r="17" spans="1:21" ht="15.95">
      <c r="A17" s="4" t="s">
        <v>21</v>
      </c>
      <c r="B17" s="30" t="s">
        <v>281</v>
      </c>
      <c r="C17" s="30" t="s">
        <v>172</v>
      </c>
      <c r="D17" s="30" t="s">
        <v>238</v>
      </c>
      <c r="E17" s="91">
        <v>40</v>
      </c>
      <c r="F17" s="32">
        <v>46112</v>
      </c>
      <c r="G17" s="30" t="s">
        <v>252</v>
      </c>
      <c r="H17" s="33">
        <v>0.6</v>
      </c>
      <c r="I17" s="4">
        <f t="shared" si="0"/>
        <v>24</v>
      </c>
      <c r="J17" s="116" t="s">
        <v>314</v>
      </c>
      <c r="N17" s="93">
        <f>I17*20%</f>
        <v>4.8000000000000007</v>
      </c>
      <c r="O17" s="93">
        <f>N17</f>
        <v>4.8000000000000007</v>
      </c>
      <c r="P17" s="93">
        <f>O17</f>
        <v>4.8000000000000007</v>
      </c>
      <c r="Q17" s="93">
        <f>I17*40%</f>
        <v>9.6000000000000014</v>
      </c>
      <c r="R17" s="93"/>
      <c r="S17" s="93"/>
      <c r="T17" s="93"/>
      <c r="U17" s="93"/>
    </row>
    <row r="18" spans="1:21" ht="15.95" hidden="1">
      <c r="A18" s="99"/>
      <c r="B18" s="99"/>
      <c r="C18" s="99"/>
      <c r="D18" s="99" t="s">
        <v>238</v>
      </c>
      <c r="E18" s="99"/>
      <c r="F18" s="99"/>
      <c r="G18" s="99"/>
      <c r="H18" s="99"/>
      <c r="I18" s="99"/>
      <c r="J18" s="115"/>
      <c r="K18"/>
      <c r="N18" s="100"/>
      <c r="O18" s="100"/>
      <c r="P18" s="100"/>
      <c r="Q18" s="100">
        <f>H17*2</f>
        <v>1.2</v>
      </c>
      <c r="R18" s="100">
        <f>H17*9.6</f>
        <v>5.76</v>
      </c>
      <c r="S18" s="100"/>
      <c r="T18" s="100"/>
      <c r="U18" s="100"/>
    </row>
    <row r="19" spans="1:21" ht="15.95">
      <c r="A19" s="4" t="s">
        <v>21</v>
      </c>
      <c r="B19" s="30" t="s">
        <v>289</v>
      </c>
      <c r="C19" s="30" t="s">
        <v>48</v>
      </c>
      <c r="D19" s="30" t="s">
        <v>238</v>
      </c>
      <c r="E19" s="91">
        <v>60</v>
      </c>
      <c r="F19" s="32">
        <v>46112</v>
      </c>
      <c r="G19" s="30" t="s">
        <v>252</v>
      </c>
      <c r="H19" s="33">
        <v>0.6</v>
      </c>
      <c r="I19" s="4">
        <f t="shared" si="0"/>
        <v>36</v>
      </c>
      <c r="J19" s="116" t="s">
        <v>314</v>
      </c>
      <c r="N19" s="93">
        <f>I19*20%*73%</f>
        <v>5.2560000000000002</v>
      </c>
      <c r="O19" s="93">
        <f>I19*20%*73%+I19*27%</f>
        <v>14.976000000000001</v>
      </c>
      <c r="P19" s="93">
        <f>I19*20%*73%</f>
        <v>5.2560000000000002</v>
      </c>
      <c r="Q19" s="93">
        <f>I19*35%*73%</f>
        <v>9.1980000000000004</v>
      </c>
      <c r="R19" s="93">
        <f>I19*5%*73%</f>
        <v>1.3140000000000001</v>
      </c>
      <c r="S19" s="93"/>
      <c r="T19" s="93"/>
      <c r="U19" s="93"/>
    </row>
    <row r="20" spans="1:21" ht="15.95" hidden="1">
      <c r="A20" s="99"/>
      <c r="B20" s="99"/>
      <c r="C20" s="99"/>
      <c r="D20" s="99" t="s">
        <v>238</v>
      </c>
      <c r="E20" s="99"/>
      <c r="F20" s="99"/>
      <c r="G20" s="99"/>
      <c r="H20" s="99"/>
      <c r="I20" s="99"/>
      <c r="J20" s="115"/>
      <c r="K20"/>
      <c r="N20" s="100"/>
      <c r="O20" s="100">
        <f>H19*0.6</f>
        <v>0.36</v>
      </c>
      <c r="P20" s="100"/>
      <c r="Q20" s="100">
        <f>H19*12.4</f>
        <v>7.4399999999999995</v>
      </c>
      <c r="R20" s="100"/>
      <c r="S20" s="100"/>
      <c r="T20" s="100"/>
      <c r="U20" s="100"/>
    </row>
    <row r="21" spans="1:21" ht="15.95">
      <c r="A21" s="4" t="s">
        <v>21</v>
      </c>
      <c r="B21" s="30" t="s">
        <v>315</v>
      </c>
      <c r="C21" s="30" t="s">
        <v>237</v>
      </c>
      <c r="D21" s="30" t="s">
        <v>238</v>
      </c>
      <c r="E21" s="91">
        <v>40</v>
      </c>
      <c r="F21" s="32">
        <v>46112</v>
      </c>
      <c r="G21" s="30" t="s">
        <v>261</v>
      </c>
      <c r="H21" s="33">
        <v>0.1</v>
      </c>
      <c r="I21" s="4">
        <f t="shared" si="0"/>
        <v>4</v>
      </c>
      <c r="J21" s="126" t="s">
        <v>316</v>
      </c>
      <c r="N21" s="93"/>
      <c r="O21" s="93"/>
      <c r="P21" s="93"/>
      <c r="Q21" s="93"/>
      <c r="R21" s="93"/>
      <c r="S21" s="93"/>
      <c r="T21" s="93"/>
      <c r="U21" s="93"/>
    </row>
    <row r="22" spans="1:21" ht="15.95" hidden="1">
      <c r="A22" s="99"/>
      <c r="B22" s="99"/>
      <c r="C22" s="99"/>
      <c r="D22" s="99" t="s">
        <v>238</v>
      </c>
      <c r="E22" s="99"/>
      <c r="F22" s="99"/>
      <c r="G22" s="99"/>
      <c r="H22" s="99"/>
      <c r="I22" s="99"/>
      <c r="J22" s="115"/>
      <c r="K22"/>
      <c r="N22" s="100"/>
      <c r="O22" s="100"/>
      <c r="P22" s="100"/>
      <c r="Q22" s="100"/>
      <c r="R22" s="100"/>
      <c r="S22" s="100"/>
      <c r="T22" s="100"/>
      <c r="U22" s="100"/>
    </row>
    <row r="23" spans="1:21" ht="15.95">
      <c r="A23" s="4" t="s">
        <v>21</v>
      </c>
      <c r="B23" s="30" t="s">
        <v>290</v>
      </c>
      <c r="C23" s="30" t="s">
        <v>297</v>
      </c>
      <c r="D23" s="30" t="s">
        <v>238</v>
      </c>
      <c r="E23" s="91">
        <v>100</v>
      </c>
      <c r="F23" s="32">
        <v>46112</v>
      </c>
      <c r="G23" s="30" t="s">
        <v>261</v>
      </c>
      <c r="H23" s="33">
        <v>0.3</v>
      </c>
      <c r="I23" s="4">
        <f t="shared" si="0"/>
        <v>30</v>
      </c>
      <c r="J23" s="116" t="s">
        <v>317</v>
      </c>
      <c r="M23" s="76" t="s">
        <v>318</v>
      </c>
      <c r="N23" s="93"/>
      <c r="O23" s="93"/>
      <c r="P23" s="93"/>
      <c r="Q23" s="93"/>
      <c r="R23" s="93"/>
      <c r="S23" s="93"/>
      <c r="T23" s="93"/>
      <c r="U23" s="93"/>
    </row>
    <row r="24" spans="1:21" ht="15.95" hidden="1">
      <c r="A24" s="99"/>
      <c r="B24" s="99"/>
      <c r="C24" s="99"/>
      <c r="D24" s="99" t="s">
        <v>238</v>
      </c>
      <c r="E24" s="99"/>
      <c r="F24" s="99"/>
      <c r="G24" s="99"/>
      <c r="H24" s="99"/>
      <c r="I24" s="99"/>
      <c r="J24" s="115"/>
      <c r="K24"/>
      <c r="N24" s="100"/>
      <c r="O24" s="100"/>
      <c r="P24" s="100"/>
      <c r="Q24" s="100"/>
      <c r="R24" s="100"/>
      <c r="S24" s="100"/>
      <c r="T24" s="100"/>
      <c r="U24" s="100"/>
    </row>
    <row r="25" spans="1:21" ht="15.95">
      <c r="A25" s="4" t="s">
        <v>21</v>
      </c>
      <c r="B25" s="30" t="s">
        <v>291</v>
      </c>
      <c r="C25" s="30" t="s">
        <v>292</v>
      </c>
      <c r="D25" s="30" t="s">
        <v>238</v>
      </c>
      <c r="E25" s="91">
        <v>10</v>
      </c>
      <c r="F25" s="32">
        <v>46112</v>
      </c>
      <c r="G25" s="30" t="s">
        <v>261</v>
      </c>
      <c r="H25" s="33">
        <v>0.3</v>
      </c>
      <c r="I25" s="4">
        <f t="shared" si="0"/>
        <v>3</v>
      </c>
      <c r="J25" s="116" t="s">
        <v>319</v>
      </c>
      <c r="N25" s="93"/>
      <c r="O25" s="93">
        <f>I25</f>
        <v>3</v>
      </c>
      <c r="P25" s="93"/>
      <c r="Q25" s="93"/>
      <c r="R25" s="93"/>
      <c r="S25" s="93"/>
      <c r="T25" s="93"/>
      <c r="U25" s="93"/>
    </row>
    <row r="26" spans="1:21" ht="15.95" hidden="1">
      <c r="A26" s="99"/>
      <c r="B26" s="99"/>
      <c r="C26" s="99"/>
      <c r="D26" s="99" t="s">
        <v>238</v>
      </c>
      <c r="E26" s="99"/>
      <c r="F26" s="99"/>
      <c r="G26" s="99"/>
      <c r="H26" s="99"/>
      <c r="I26" s="99"/>
      <c r="J26" s="115"/>
      <c r="K26"/>
      <c r="N26" s="100"/>
      <c r="O26" s="100">
        <f>H25*9</f>
        <v>2.6999999999999997</v>
      </c>
      <c r="P26" s="100"/>
      <c r="Q26" s="100"/>
      <c r="R26" s="100"/>
      <c r="S26" s="100"/>
      <c r="T26" s="100"/>
      <c r="U26" s="100"/>
    </row>
    <row r="27" spans="1:21" ht="15.95">
      <c r="A27" s="4" t="s">
        <v>21</v>
      </c>
      <c r="B27" s="30" t="s">
        <v>258</v>
      </c>
      <c r="C27" s="30" t="s">
        <v>320</v>
      </c>
      <c r="D27" s="30" t="s">
        <v>238</v>
      </c>
      <c r="E27" s="91">
        <v>30</v>
      </c>
      <c r="F27" s="32">
        <v>46112</v>
      </c>
      <c r="G27" s="30" t="s">
        <v>243</v>
      </c>
      <c r="H27" s="33">
        <v>0.9</v>
      </c>
      <c r="I27" s="4">
        <f t="shared" si="0"/>
        <v>27</v>
      </c>
      <c r="J27" s="89" t="s">
        <v>300</v>
      </c>
      <c r="N27" s="93">
        <f>I27*20%</f>
        <v>5.4</v>
      </c>
      <c r="O27" s="93">
        <f>I27*15%</f>
        <v>4.05</v>
      </c>
      <c r="P27" s="93">
        <f>I27*20%</f>
        <v>5.4</v>
      </c>
      <c r="Q27" s="93"/>
      <c r="R27" s="93"/>
      <c r="S27" s="93">
        <f>I27*10%</f>
        <v>2.7</v>
      </c>
      <c r="T27" s="93">
        <f>I27*30%</f>
        <v>8.1</v>
      </c>
      <c r="U27" s="93">
        <f>I27*5%</f>
        <v>1.35</v>
      </c>
    </row>
    <row r="28" spans="1:21" ht="15.95" hidden="1">
      <c r="A28" s="99"/>
      <c r="B28" s="99"/>
      <c r="C28" s="99"/>
      <c r="D28" s="99" t="s">
        <v>238</v>
      </c>
      <c r="E28" s="99"/>
      <c r="F28" s="99"/>
      <c r="G28" s="99"/>
      <c r="H28" s="99"/>
      <c r="I28" s="99"/>
      <c r="J28" s="115"/>
      <c r="K28"/>
      <c r="N28" s="100"/>
      <c r="O28" s="100">
        <f>H27*1.5</f>
        <v>1.35</v>
      </c>
      <c r="P28" s="100">
        <f>H27*2.8</f>
        <v>2.52</v>
      </c>
      <c r="Q28" s="100"/>
      <c r="R28" s="100">
        <f>O28</f>
        <v>1.35</v>
      </c>
      <c r="S28" s="100">
        <f>R28</f>
        <v>1.35</v>
      </c>
      <c r="T28" s="100">
        <f>S28</f>
        <v>1.35</v>
      </c>
      <c r="U28" s="100"/>
    </row>
    <row r="29" spans="1:21">
      <c r="N29" s="34"/>
      <c r="O29" s="34"/>
      <c r="P29" s="34"/>
      <c r="Q29" s="34"/>
      <c r="R29" s="34"/>
      <c r="S29" s="34"/>
      <c r="T29" s="34"/>
      <c r="U29" s="34"/>
    </row>
    <row r="30" spans="1:21">
      <c r="G30" s="252" t="s">
        <v>321</v>
      </c>
      <c r="H30" s="95" t="s">
        <v>3</v>
      </c>
      <c r="I30" s="96">
        <v>292</v>
      </c>
      <c r="J30" s="96">
        <f>I30</f>
        <v>292</v>
      </c>
      <c r="M30" s="4" t="s">
        <v>322</v>
      </c>
      <c r="N30" s="93">
        <f t="shared" ref="N30:U30" si="1">(N2+N4+N5+N6+N7+N8+N10+N12+N14+N15+N17+N19+N21+N23+N25+N27)*1000000</f>
        <v>88762900</v>
      </c>
      <c r="O30" s="93">
        <f t="shared" si="1"/>
        <v>64157900</v>
      </c>
      <c r="P30" s="93">
        <f t="shared" si="1"/>
        <v>21036000</v>
      </c>
      <c r="Q30" s="93">
        <f t="shared" si="1"/>
        <v>132558900.00000003</v>
      </c>
      <c r="R30" s="93">
        <f t="shared" si="1"/>
        <v>61313200</v>
      </c>
      <c r="S30" s="93">
        <f t="shared" si="1"/>
        <v>53294200</v>
      </c>
      <c r="T30" s="93">
        <f t="shared" si="1"/>
        <v>17184600.000000004</v>
      </c>
      <c r="U30" s="93">
        <f t="shared" si="1"/>
        <v>5892300.0000000009</v>
      </c>
    </row>
    <row r="31" spans="1:21">
      <c r="G31" s="253"/>
      <c r="H31" s="95" t="s">
        <v>4</v>
      </c>
      <c r="I31" s="96">
        <f>'Proyección Q1 (Febrero)'!J31</f>
        <v>473.7</v>
      </c>
      <c r="J31" s="96">
        <f>I31</f>
        <v>473.7</v>
      </c>
      <c r="M31" s="4" t="s">
        <v>323</v>
      </c>
      <c r="N31" s="93">
        <f>(N3+N9+N11+N13+N16+N18+N20+N22+N24+N26+N28)*1000000</f>
        <v>0</v>
      </c>
      <c r="O31" s="93">
        <f t="shared" ref="O31:U31" si="2">(O3+O9+O11+O13+O16+O18+O20+O22+O24+O26+O28)*1000000</f>
        <v>9090000</v>
      </c>
      <c r="P31" s="93">
        <f t="shared" si="2"/>
        <v>11520000</v>
      </c>
      <c r="Q31" s="93">
        <f t="shared" si="2"/>
        <v>18990000</v>
      </c>
      <c r="R31" s="93">
        <f t="shared" si="2"/>
        <v>79170000</v>
      </c>
      <c r="S31" s="93">
        <f t="shared" si="2"/>
        <v>8180000</v>
      </c>
      <c r="T31" s="93">
        <f t="shared" si="2"/>
        <v>8280000.0000000009</v>
      </c>
      <c r="U31" s="93">
        <f t="shared" si="2"/>
        <v>4680000.0000000009</v>
      </c>
    </row>
    <row r="32" spans="1:21" ht="15.95" thickBot="1">
      <c r="G32" s="253"/>
      <c r="H32" s="92" t="s">
        <v>5</v>
      </c>
      <c r="I32" s="93">
        <f>SUM(I2:I27)</f>
        <v>575.6</v>
      </c>
      <c r="J32" s="120">
        <f>Panel!F107+K4+K8+K12</f>
        <v>325.346</v>
      </c>
      <c r="K32" s="90">
        <f>J32-I32</f>
        <v>-250.25400000000002</v>
      </c>
      <c r="L32" s="90"/>
    </row>
    <row r="33" spans="1:21" ht="15.95" thickBot="1">
      <c r="G33" s="254"/>
      <c r="H33" s="94" t="s">
        <v>15</v>
      </c>
      <c r="I33" s="119">
        <f>SUM(I30:I32)</f>
        <v>1341.3000000000002</v>
      </c>
      <c r="J33" s="121">
        <f>SUM(J30:J32)</f>
        <v>1091.046</v>
      </c>
    </row>
    <row r="35" spans="1:21">
      <c r="G35" s="255" t="s">
        <v>324</v>
      </c>
      <c r="H35" s="255"/>
      <c r="I35" s="122" t="s">
        <v>325</v>
      </c>
      <c r="J35" s="122" t="s">
        <v>326</v>
      </c>
    </row>
    <row r="36" spans="1:21">
      <c r="G36" s="255"/>
      <c r="H36" s="255"/>
      <c r="I36" s="123">
        <f>'Proyección Q1 (Enero)'!I25</f>
        <v>1287.5999999999999</v>
      </c>
      <c r="J36" s="124">
        <f>J33</f>
        <v>1091.046</v>
      </c>
      <c r="K36" s="90">
        <f>J36-I36</f>
        <v>-196.55399999999986</v>
      </c>
    </row>
    <row r="40" spans="1:21">
      <c r="A40" s="110" t="s">
        <v>2</v>
      </c>
      <c r="B40" s="110" t="s">
        <v>327</v>
      </c>
      <c r="C40" s="110" t="s">
        <v>328</v>
      </c>
      <c r="D40" s="110" t="s">
        <v>282</v>
      </c>
      <c r="E40" s="110"/>
      <c r="F40" s="110"/>
      <c r="G40" s="110"/>
      <c r="H40" s="111"/>
      <c r="I40" s="110"/>
      <c r="K40"/>
    </row>
    <row r="41" spans="1:21">
      <c r="A41" s="99"/>
      <c r="B41" s="99"/>
      <c r="C41" s="99"/>
      <c r="D41" s="99"/>
      <c r="E41" s="99"/>
      <c r="F41" s="99"/>
      <c r="G41" s="99"/>
      <c r="H41" s="99"/>
      <c r="I41" s="99"/>
      <c r="K41"/>
      <c r="N41" s="100"/>
      <c r="O41" s="100"/>
      <c r="P41" s="100"/>
      <c r="Q41" s="113"/>
      <c r="R41" s="100"/>
      <c r="S41" s="100"/>
      <c r="T41" s="100"/>
      <c r="U41" s="100"/>
    </row>
    <row r="42" spans="1:21">
      <c r="A42" s="110" t="s">
        <v>2</v>
      </c>
      <c r="B42" s="110" t="s">
        <v>329</v>
      </c>
      <c r="C42" s="110" t="s">
        <v>330</v>
      </c>
      <c r="D42" s="110" t="s">
        <v>242</v>
      </c>
      <c r="E42" s="110">
        <v>89</v>
      </c>
      <c r="F42" s="112" t="s">
        <v>6</v>
      </c>
      <c r="G42" s="110" t="s">
        <v>331</v>
      </c>
      <c r="H42" s="111">
        <v>0.6</v>
      </c>
      <c r="I42" s="110">
        <f>E42*H42</f>
        <v>53.4</v>
      </c>
      <c r="K42"/>
      <c r="N42" s="93"/>
      <c r="O42" s="93">
        <f>I42*20%</f>
        <v>10.68</v>
      </c>
      <c r="P42" s="93"/>
      <c r="Q42" s="93"/>
      <c r="R42" s="93">
        <f>I42*40%</f>
        <v>21.36</v>
      </c>
      <c r="S42" s="93"/>
      <c r="T42" s="93"/>
      <c r="U42" s="93">
        <f>I42*40%</f>
        <v>21.36</v>
      </c>
    </row>
    <row r="43" spans="1:21">
      <c r="A43" s="99"/>
      <c r="B43" s="99"/>
      <c r="C43" s="99"/>
      <c r="D43" s="99"/>
      <c r="E43" s="99"/>
      <c r="F43" s="99"/>
      <c r="G43" s="99"/>
      <c r="H43" s="99"/>
      <c r="I43" s="99"/>
      <c r="K43"/>
      <c r="N43" s="100"/>
      <c r="O43" s="100"/>
      <c r="P43" s="100">
        <f>H42*5</f>
        <v>3</v>
      </c>
      <c r="Q43" s="113">
        <f>P43</f>
        <v>3</v>
      </c>
      <c r="R43" s="100"/>
      <c r="S43" s="100"/>
      <c r="T43" s="100"/>
      <c r="U43" s="100"/>
    </row>
    <row r="44" spans="1:21">
      <c r="A44" s="110" t="s">
        <v>2</v>
      </c>
      <c r="B44" s="110" t="s">
        <v>327</v>
      </c>
      <c r="C44" s="110" t="s">
        <v>332</v>
      </c>
      <c r="D44" s="110" t="s">
        <v>282</v>
      </c>
      <c r="E44" s="110">
        <v>50</v>
      </c>
      <c r="F44" s="112" t="s">
        <v>7</v>
      </c>
      <c r="G44" s="110" t="s">
        <v>331</v>
      </c>
      <c r="H44" s="111">
        <v>0.5</v>
      </c>
      <c r="I44" s="110">
        <f>E44*H44</f>
        <v>25</v>
      </c>
      <c r="K44"/>
      <c r="N44" s="93"/>
      <c r="O44" s="93"/>
      <c r="P44" s="93">
        <f>I44*20%</f>
        <v>5</v>
      </c>
      <c r="Q44" s="93">
        <f>I44*25%</f>
        <v>6.25</v>
      </c>
      <c r="R44" s="93"/>
      <c r="S44" s="93"/>
      <c r="T44" s="93">
        <f>I44*50%</f>
        <v>12.5</v>
      </c>
      <c r="U44" s="93">
        <f>I44*5%</f>
        <v>1.25</v>
      </c>
    </row>
    <row r="45" spans="1:21">
      <c r="A45" s="99"/>
      <c r="B45" s="99"/>
      <c r="C45" s="99"/>
      <c r="D45" s="99"/>
      <c r="E45" s="99"/>
      <c r="F45" s="99"/>
      <c r="G45" s="99"/>
      <c r="H45" s="99"/>
      <c r="I45" s="99"/>
      <c r="K45"/>
      <c r="N45" s="100"/>
      <c r="O45" s="100"/>
      <c r="P45" s="100"/>
      <c r="Q45" s="113">
        <f>0.9*H44</f>
        <v>0.45</v>
      </c>
      <c r="R45" s="100"/>
      <c r="S45" s="100"/>
      <c r="T45" s="100">
        <f>H44*15</f>
        <v>7.5</v>
      </c>
      <c r="U45" s="100">
        <f>H44*13</f>
        <v>6.5</v>
      </c>
    </row>
    <row r="46" spans="1:21">
      <c r="A46" s="110" t="s">
        <v>333</v>
      </c>
      <c r="B46" s="110"/>
      <c r="C46" s="110" t="s">
        <v>334</v>
      </c>
      <c r="D46" s="110" t="s">
        <v>335</v>
      </c>
      <c r="E46" s="110">
        <v>254</v>
      </c>
      <c r="F46" s="112" t="s">
        <v>6</v>
      </c>
      <c r="G46" s="110" t="s">
        <v>331</v>
      </c>
      <c r="H46" s="111">
        <v>0.5</v>
      </c>
      <c r="I46" s="110">
        <f>E46*H46</f>
        <v>127</v>
      </c>
      <c r="K46"/>
      <c r="N46" s="93"/>
      <c r="O46" s="93">
        <f>I46*30%</f>
        <v>38.1</v>
      </c>
      <c r="P46" s="93">
        <f>(I46-O46)/3</f>
        <v>29.633333333333336</v>
      </c>
      <c r="Q46" s="93">
        <f>P46</f>
        <v>29.633333333333336</v>
      </c>
      <c r="R46" s="93">
        <f>Q46</f>
        <v>29.633333333333336</v>
      </c>
      <c r="S46" s="93"/>
      <c r="T46" s="93"/>
      <c r="U46" s="93"/>
    </row>
    <row r="47" spans="1:21">
      <c r="A47" s="99"/>
      <c r="B47" s="99"/>
      <c r="C47" s="99"/>
      <c r="D47" s="99"/>
      <c r="E47" s="99"/>
      <c r="F47" s="99"/>
      <c r="G47" s="99"/>
      <c r="H47" s="99"/>
      <c r="I47" s="99"/>
      <c r="K47"/>
      <c r="N47" s="100"/>
      <c r="O47" s="100">
        <f>H46*57</f>
        <v>28.5</v>
      </c>
      <c r="P47" s="100">
        <f>H46*46</f>
        <v>23</v>
      </c>
      <c r="Q47" s="113">
        <f>P47</f>
        <v>23</v>
      </c>
      <c r="R47" s="100">
        <f>Q47</f>
        <v>23</v>
      </c>
      <c r="S47" s="100"/>
      <c r="T47" s="100">
        <f>H46*15</f>
        <v>7.5</v>
      </c>
      <c r="U47" s="100">
        <f>H46*13</f>
        <v>6.5</v>
      </c>
    </row>
  </sheetData>
  <autoFilter ref="D1:D28" xr:uid="{95625A91-43CB-CE46-8DE6-A7D09A6A8237}">
    <filterColumn colId="0">
      <colorFilter dxfId="16"/>
    </filterColumn>
  </autoFilter>
  <mergeCells count="2">
    <mergeCell ref="G30:G33"/>
    <mergeCell ref="G35:H36"/>
  </mergeCells>
  <conditionalFormatting sqref="J4">
    <cfRule type="cellIs" dxfId="25" priority="1" operator="equal">
      <formula>"OC"</formula>
    </cfRule>
  </conditionalFormatting>
  <conditionalFormatting sqref="J8">
    <cfRule type="cellIs" dxfId="24" priority="3" operator="equal">
      <formula>"OC"</formula>
    </cfRule>
  </conditionalFormatting>
  <conditionalFormatting sqref="J10">
    <cfRule type="cellIs" dxfId="23" priority="11" operator="equal">
      <formula>"OC"</formula>
    </cfRule>
  </conditionalFormatting>
  <conditionalFormatting sqref="J12">
    <cfRule type="cellIs" dxfId="22" priority="2" operator="equal">
      <formula>"OC"</formula>
    </cfRule>
  </conditionalFormatting>
  <conditionalFormatting sqref="J21">
    <cfRule type="cellIs" dxfId="21" priority="6" operator="equal">
      <formula>"Perdido"</formula>
    </cfRule>
  </conditionalFormatting>
  <conditionalFormatting sqref="K1:L1 J2:L2 K3:L3">
    <cfRule type="cellIs" dxfId="20" priority="13" operator="equal">
      <formula>"OC"</formula>
    </cfRule>
  </conditionalFormatting>
  <conditionalFormatting sqref="K4:L4">
    <cfRule type="cellIs" dxfId="19" priority="12" operator="equal">
      <formula>"Perdido"</formula>
    </cfRule>
  </conditionalFormatting>
  <conditionalFormatting sqref="K8:L8">
    <cfRule type="cellIs" dxfId="18" priority="5" operator="equal">
      <formula>"Perdido"</formula>
    </cfRule>
  </conditionalFormatting>
  <conditionalFormatting sqref="K12:L12">
    <cfRule type="cellIs" dxfId="17" priority="4" operator="equal">
      <formula>"Perdido"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831E-B1BF-9245-999B-768E6EA5BE7C}">
  <sheetPr filterMode="1"/>
  <dimension ref="A1:U153"/>
  <sheetViews>
    <sheetView showGridLines="0" topLeftCell="C1" zoomScale="140" zoomScaleNormal="140" workbookViewId="0">
      <selection activeCell="K12" sqref="K12"/>
    </sheetView>
  </sheetViews>
  <sheetFormatPr defaultColWidth="11.42578125" defaultRowHeight="15"/>
  <cols>
    <col min="2" max="2" width="47.42578125" customWidth="1"/>
    <col min="3" max="3" width="45.42578125" customWidth="1"/>
    <col min="4" max="4" width="21.85546875" customWidth="1"/>
    <col min="5" max="5" width="15" style="34" bestFit="1" customWidth="1"/>
    <col min="6" max="6" width="13.42578125" bestFit="1" customWidth="1"/>
    <col min="7" max="7" width="29.140625" customWidth="1"/>
    <col min="8" max="8" width="11.42578125" style="35"/>
    <col min="9" max="9" width="15.140625" style="34" customWidth="1"/>
    <col min="11" max="11" width="17.28515625" style="46" bestFit="1" customWidth="1"/>
    <col min="14" max="18" width="13" bestFit="1" customWidth="1"/>
    <col min="20" max="20" width="13" bestFit="1" customWidth="1"/>
    <col min="21" max="21" width="14.42578125" bestFit="1" customWidth="1"/>
  </cols>
  <sheetData>
    <row r="1" spans="1:20">
      <c r="A1" s="27" t="s">
        <v>34</v>
      </c>
      <c r="B1" s="27" t="s">
        <v>228</v>
      </c>
      <c r="C1" s="27" t="s">
        <v>26</v>
      </c>
      <c r="D1" s="27" t="s">
        <v>229</v>
      </c>
      <c r="E1" s="28" t="s">
        <v>230</v>
      </c>
      <c r="F1" s="27" t="s">
        <v>231</v>
      </c>
      <c r="G1" s="27" t="s">
        <v>232</v>
      </c>
      <c r="H1" s="29" t="s">
        <v>233</v>
      </c>
      <c r="I1" s="28" t="s">
        <v>234</v>
      </c>
      <c r="K1" s="114" t="s">
        <v>336</v>
      </c>
      <c r="M1">
        <v>0</v>
      </c>
      <c r="N1" s="138" t="s">
        <v>8</v>
      </c>
      <c r="O1" s="138" t="s">
        <v>9</v>
      </c>
      <c r="P1" s="138" t="s">
        <v>10</v>
      </c>
      <c r="Q1" s="138" t="s">
        <v>11</v>
      </c>
      <c r="R1" s="138" t="s">
        <v>12</v>
      </c>
      <c r="S1" s="138" t="s">
        <v>13</v>
      </c>
      <c r="T1" s="138" t="s">
        <v>14</v>
      </c>
    </row>
    <row r="2" spans="1:20" ht="15.95">
      <c r="A2" s="4" t="s">
        <v>2</v>
      </c>
      <c r="B2" s="30" t="s">
        <v>337</v>
      </c>
      <c r="C2" s="30" t="s">
        <v>338</v>
      </c>
      <c r="D2" s="30" t="s">
        <v>282</v>
      </c>
      <c r="E2" s="31">
        <v>300</v>
      </c>
      <c r="F2" s="125">
        <v>46118</v>
      </c>
      <c r="G2" s="30" t="s">
        <v>261</v>
      </c>
      <c r="H2" s="33">
        <v>0.6</v>
      </c>
      <c r="I2" s="93">
        <f>E2*H2</f>
        <v>180</v>
      </c>
      <c r="K2" s="89" t="s">
        <v>314</v>
      </c>
      <c r="N2" s="110"/>
      <c r="O2" s="110"/>
      <c r="P2" s="110"/>
      <c r="Q2" s="110"/>
      <c r="R2" s="110"/>
      <c r="S2" s="110"/>
      <c r="T2" s="110"/>
    </row>
    <row r="3" spans="1:20" hidden="1">
      <c r="A3" s="131"/>
      <c r="B3" s="132"/>
      <c r="C3" s="132"/>
      <c r="D3" s="132"/>
      <c r="E3" s="133"/>
      <c r="F3" s="134"/>
      <c r="G3" s="132"/>
      <c r="H3" s="135"/>
      <c r="I3" s="136"/>
      <c r="K3" s="4"/>
      <c r="N3" s="137"/>
      <c r="O3" s="137"/>
      <c r="P3" s="137"/>
      <c r="Q3" s="137"/>
      <c r="R3" s="137"/>
      <c r="S3" s="137"/>
      <c r="T3" s="137"/>
    </row>
    <row r="4" spans="1:20" ht="15.95" hidden="1">
      <c r="A4" s="4" t="s">
        <v>2</v>
      </c>
      <c r="B4" s="30" t="s">
        <v>339</v>
      </c>
      <c r="C4" s="30" t="s">
        <v>340</v>
      </c>
      <c r="D4" s="30" t="s">
        <v>282</v>
      </c>
      <c r="E4" s="31">
        <v>120</v>
      </c>
      <c r="F4" s="125">
        <v>46129</v>
      </c>
      <c r="G4" s="30" t="s">
        <v>331</v>
      </c>
      <c r="H4" s="33">
        <v>0.3</v>
      </c>
      <c r="I4" s="93"/>
      <c r="K4"/>
      <c r="N4" s="110"/>
      <c r="O4" s="110"/>
      <c r="P4" s="110"/>
      <c r="Q4" s="110"/>
      <c r="R4" s="110"/>
      <c r="S4" s="110"/>
      <c r="T4" s="110"/>
    </row>
    <row r="5" spans="1:20" hidden="1">
      <c r="A5" s="131"/>
      <c r="B5" s="132"/>
      <c r="C5" s="132"/>
      <c r="D5" s="132"/>
      <c r="E5" s="133"/>
      <c r="F5" s="134"/>
      <c r="G5" s="132"/>
      <c r="H5" s="135"/>
      <c r="I5" s="136"/>
      <c r="K5" s="4"/>
      <c r="N5" s="137"/>
      <c r="O5" s="137"/>
      <c r="P5" s="137"/>
      <c r="Q5" s="137"/>
      <c r="R5" s="137"/>
      <c r="S5" s="137"/>
      <c r="T5" s="137"/>
    </row>
    <row r="6" spans="1:20" ht="15.95" hidden="1">
      <c r="A6" s="4" t="s">
        <v>147</v>
      </c>
      <c r="B6" s="30" t="s">
        <v>341</v>
      </c>
      <c r="C6" s="30" t="s">
        <v>311</v>
      </c>
      <c r="D6" s="30" t="s">
        <v>247</v>
      </c>
      <c r="E6" s="31">
        <v>70</v>
      </c>
      <c r="F6" s="125">
        <v>46129</v>
      </c>
      <c r="G6" s="30" t="s">
        <v>331</v>
      </c>
      <c r="H6" s="33">
        <v>0.5</v>
      </c>
      <c r="I6" s="93">
        <f>E6*H6*M1</f>
        <v>0</v>
      </c>
      <c r="K6" s="4"/>
      <c r="N6" s="127">
        <f>I6/5</f>
        <v>0</v>
      </c>
      <c r="O6" s="127">
        <f>$N$6</f>
        <v>0</v>
      </c>
      <c r="P6" s="127">
        <f t="shared" ref="P6:R6" si="0">$N$6</f>
        <v>0</v>
      </c>
      <c r="Q6" s="127">
        <f t="shared" si="0"/>
        <v>0</v>
      </c>
      <c r="R6" s="127">
        <f t="shared" si="0"/>
        <v>0</v>
      </c>
      <c r="S6" s="110"/>
      <c r="T6" s="110"/>
    </row>
    <row r="7" spans="1:20" hidden="1">
      <c r="A7" s="131"/>
      <c r="B7" s="132"/>
      <c r="C7" s="132"/>
      <c r="D7" s="132"/>
      <c r="E7" s="133"/>
      <c r="F7" s="134"/>
      <c r="G7" s="132"/>
      <c r="H7" s="135"/>
      <c r="I7" s="136"/>
      <c r="K7" s="4"/>
      <c r="N7" s="137"/>
      <c r="O7" s="137">
        <f>2.4*H6</f>
        <v>1.2</v>
      </c>
      <c r="P7" s="137">
        <f>8.5*H6</f>
        <v>4.25</v>
      </c>
      <c r="Q7" s="137">
        <f>H6*33</f>
        <v>16.5</v>
      </c>
      <c r="R7" s="137">
        <f>H6*4.9</f>
        <v>2.4500000000000002</v>
      </c>
      <c r="S7" s="137"/>
      <c r="T7" s="137"/>
    </row>
    <row r="8" spans="1:20" ht="15.95" hidden="1">
      <c r="A8" s="4" t="s">
        <v>2</v>
      </c>
      <c r="B8" s="30" t="s">
        <v>342</v>
      </c>
      <c r="C8" s="30" t="s">
        <v>343</v>
      </c>
      <c r="D8" s="30" t="s">
        <v>247</v>
      </c>
      <c r="E8" s="31">
        <v>19</v>
      </c>
      <c r="F8" s="125">
        <v>46142</v>
      </c>
      <c r="G8" s="30" t="s">
        <v>331</v>
      </c>
      <c r="H8" s="33">
        <v>0.9</v>
      </c>
      <c r="I8" s="93"/>
      <c r="K8"/>
      <c r="N8" s="110"/>
      <c r="O8" s="110"/>
      <c r="P8" s="110"/>
      <c r="Q8" s="110"/>
      <c r="R8" s="110"/>
      <c r="S8" s="110"/>
      <c r="T8" s="110"/>
    </row>
    <row r="9" spans="1:20" hidden="1">
      <c r="A9" s="131"/>
      <c r="B9" s="132"/>
      <c r="C9" s="132"/>
      <c r="D9" s="132"/>
      <c r="E9" s="133"/>
      <c r="F9" s="134"/>
      <c r="G9" s="132"/>
      <c r="H9" s="135"/>
      <c r="I9" s="136"/>
      <c r="K9" s="4"/>
      <c r="N9" s="137"/>
      <c r="O9" s="137"/>
      <c r="P9" s="137"/>
      <c r="Q9" s="137"/>
      <c r="R9" s="137"/>
      <c r="S9" s="137"/>
      <c r="T9" s="137"/>
    </row>
    <row r="10" spans="1:20" ht="15.95">
      <c r="A10" s="4" t="s">
        <v>2</v>
      </c>
      <c r="B10" s="30" t="s">
        <v>344</v>
      </c>
      <c r="C10" s="30" t="s">
        <v>343</v>
      </c>
      <c r="D10" s="30" t="s">
        <v>247</v>
      </c>
      <c r="E10" s="31">
        <v>12</v>
      </c>
      <c r="F10" s="125">
        <v>46142</v>
      </c>
      <c r="G10" s="30" t="s">
        <v>239</v>
      </c>
      <c r="H10" s="33">
        <v>0.7</v>
      </c>
      <c r="I10" s="93">
        <f>E10*H10</f>
        <v>8.3999999999999986</v>
      </c>
      <c r="K10" s="89" t="s">
        <v>244</v>
      </c>
      <c r="N10" s="110"/>
      <c r="O10" s="110"/>
      <c r="P10" s="110"/>
      <c r="Q10" s="110"/>
      <c r="R10" s="110"/>
      <c r="S10" s="110"/>
      <c r="T10" s="110"/>
    </row>
    <row r="11" spans="1:20" hidden="1">
      <c r="A11" s="131"/>
      <c r="B11" s="132"/>
      <c r="C11" s="132"/>
      <c r="D11" s="132"/>
      <c r="E11" s="133"/>
      <c r="F11" s="134"/>
      <c r="G11" s="132"/>
      <c r="H11" s="135"/>
      <c r="I11" s="136"/>
      <c r="K11" s="4"/>
      <c r="N11" s="137"/>
      <c r="O11" s="137"/>
      <c r="P11" s="137"/>
      <c r="Q11" s="137"/>
      <c r="R11" s="137"/>
      <c r="S11" s="137"/>
      <c r="T11" s="137"/>
    </row>
    <row r="12" spans="1:20" ht="15.95">
      <c r="A12" s="4" t="s">
        <v>2</v>
      </c>
      <c r="B12" s="30" t="s">
        <v>345</v>
      </c>
      <c r="C12" s="30" t="s">
        <v>51</v>
      </c>
      <c r="D12" s="30" t="s">
        <v>242</v>
      </c>
      <c r="E12" s="31">
        <v>100</v>
      </c>
      <c r="F12" s="125">
        <v>46142</v>
      </c>
      <c r="G12" s="30" t="s">
        <v>239</v>
      </c>
      <c r="H12" s="33">
        <v>0.7</v>
      </c>
      <c r="I12" s="93">
        <f>E12*H12</f>
        <v>70</v>
      </c>
      <c r="K12" s="89" t="s">
        <v>244</v>
      </c>
      <c r="L12" t="s">
        <v>346</v>
      </c>
      <c r="N12" s="127">
        <f>I12*20%</f>
        <v>14</v>
      </c>
      <c r="O12" s="110"/>
      <c r="P12" s="110"/>
      <c r="Q12" s="127">
        <f>I12*40%</f>
        <v>28</v>
      </c>
      <c r="R12" s="110"/>
      <c r="S12" s="110"/>
      <c r="T12" s="127">
        <f>I12*40%</f>
        <v>28</v>
      </c>
    </row>
    <row r="13" spans="1:20" hidden="1">
      <c r="A13" s="131"/>
      <c r="B13" s="132"/>
      <c r="C13" s="132"/>
      <c r="D13" s="132"/>
      <c r="E13" s="133"/>
      <c r="F13" s="134"/>
      <c r="G13" s="132"/>
      <c r="H13" s="135"/>
      <c r="I13" s="136"/>
      <c r="K13" s="4"/>
      <c r="N13" s="137"/>
      <c r="O13" s="137">
        <f>3.5*H12</f>
        <v>2.4499999999999997</v>
      </c>
      <c r="P13" s="137">
        <f>3.5*H12</f>
        <v>2.4499999999999997</v>
      </c>
      <c r="Q13" s="137"/>
      <c r="R13" s="137"/>
      <c r="S13" s="137"/>
      <c r="T13" s="137"/>
    </row>
    <row r="14" spans="1:20" ht="15.95" hidden="1">
      <c r="A14" s="4" t="s">
        <v>2</v>
      </c>
      <c r="B14" s="30" t="s">
        <v>347</v>
      </c>
      <c r="C14" s="30" t="s">
        <v>348</v>
      </c>
      <c r="D14" s="30" t="s">
        <v>282</v>
      </c>
      <c r="E14" s="31">
        <v>27</v>
      </c>
      <c r="F14" s="125">
        <v>46142</v>
      </c>
      <c r="G14" s="30" t="s">
        <v>331</v>
      </c>
      <c r="H14" s="33">
        <v>0.3</v>
      </c>
      <c r="I14" s="93"/>
      <c r="K14"/>
      <c r="N14" s="110"/>
      <c r="O14" s="110"/>
      <c r="P14" s="110"/>
      <c r="Q14" s="110"/>
      <c r="R14" s="110"/>
      <c r="S14" s="110"/>
      <c r="T14" s="110"/>
    </row>
    <row r="15" spans="1:20" hidden="1">
      <c r="A15" s="131"/>
      <c r="B15" s="132"/>
      <c r="C15" s="132"/>
      <c r="D15" s="132"/>
      <c r="E15" s="133"/>
      <c r="F15" s="134"/>
      <c r="G15" s="132"/>
      <c r="H15" s="135"/>
      <c r="I15" s="136"/>
      <c r="K15" s="4"/>
      <c r="N15" s="137"/>
      <c r="O15" s="137"/>
      <c r="P15" s="137"/>
      <c r="Q15" s="137"/>
      <c r="R15" s="137"/>
      <c r="S15" s="137"/>
      <c r="T15" s="137"/>
    </row>
    <row r="16" spans="1:20" ht="15.95">
      <c r="A16" s="4" t="s">
        <v>2</v>
      </c>
      <c r="B16" s="30" t="s">
        <v>301</v>
      </c>
      <c r="C16" s="30" t="s">
        <v>302</v>
      </c>
      <c r="D16" s="30" t="s">
        <v>247</v>
      </c>
      <c r="E16" s="31">
        <v>10</v>
      </c>
      <c r="F16" s="125">
        <v>46142</v>
      </c>
      <c r="G16" s="30" t="s">
        <v>239</v>
      </c>
      <c r="H16" s="33">
        <v>0.7</v>
      </c>
      <c r="I16" s="93">
        <f>E16*H16</f>
        <v>7</v>
      </c>
      <c r="K16" s="89" t="s">
        <v>314</v>
      </c>
      <c r="N16" s="110"/>
      <c r="O16" s="110"/>
      <c r="P16" s="110"/>
      <c r="Q16" s="110"/>
      <c r="R16" s="110"/>
      <c r="S16" s="110"/>
      <c r="T16" s="110"/>
    </row>
    <row r="17" spans="1:20" hidden="1">
      <c r="A17" s="131"/>
      <c r="B17" s="132"/>
      <c r="C17" s="132"/>
      <c r="D17" s="132"/>
      <c r="E17" s="133"/>
      <c r="F17" s="134"/>
      <c r="G17" s="132"/>
      <c r="H17" s="135"/>
      <c r="I17" s="136"/>
      <c r="K17" s="4"/>
      <c r="N17" s="137"/>
      <c r="O17" s="137"/>
      <c r="P17" s="137"/>
      <c r="Q17" s="137"/>
      <c r="R17" s="137"/>
      <c r="S17" s="137"/>
      <c r="T17" s="137"/>
    </row>
    <row r="18" spans="1:20" ht="15.95">
      <c r="A18" s="4" t="s">
        <v>2</v>
      </c>
      <c r="B18" s="30" t="s">
        <v>303</v>
      </c>
      <c r="C18" s="30" t="s">
        <v>304</v>
      </c>
      <c r="D18" s="30" t="s">
        <v>247</v>
      </c>
      <c r="E18" s="31">
        <v>50</v>
      </c>
      <c r="F18" s="125">
        <v>46142</v>
      </c>
      <c r="G18" s="30" t="s">
        <v>243</v>
      </c>
      <c r="H18" s="33">
        <v>0.9</v>
      </c>
      <c r="I18" s="93">
        <f>E18*H18</f>
        <v>45</v>
      </c>
      <c r="K18" s="89" t="s">
        <v>314</v>
      </c>
      <c r="N18" s="110"/>
      <c r="O18" s="110"/>
      <c r="P18" s="110"/>
      <c r="Q18" s="110"/>
      <c r="R18" s="110"/>
      <c r="S18" s="110"/>
      <c r="T18" s="110"/>
    </row>
    <row r="19" spans="1:20" hidden="1">
      <c r="A19" s="131"/>
      <c r="B19" s="132"/>
      <c r="C19" s="132"/>
      <c r="D19" s="132"/>
      <c r="E19" s="133"/>
      <c r="F19" s="134"/>
      <c r="G19" s="132"/>
      <c r="H19" s="135"/>
      <c r="I19" s="136"/>
      <c r="K19" s="4"/>
      <c r="N19" s="137"/>
      <c r="O19" s="137"/>
      <c r="P19" s="137"/>
      <c r="Q19" s="137"/>
      <c r="R19" s="137"/>
      <c r="S19" s="137"/>
      <c r="T19" s="137"/>
    </row>
    <row r="20" spans="1:20" ht="15.95" hidden="1">
      <c r="A20" s="4" t="s">
        <v>2</v>
      </c>
      <c r="B20" s="30" t="s">
        <v>305</v>
      </c>
      <c r="C20" s="30" t="s">
        <v>237</v>
      </c>
      <c r="D20" s="30" t="s">
        <v>247</v>
      </c>
      <c r="E20" s="31">
        <v>50</v>
      </c>
      <c r="F20" s="125">
        <v>46142</v>
      </c>
      <c r="G20" s="30" t="s">
        <v>331</v>
      </c>
      <c r="H20" s="33">
        <v>0.7</v>
      </c>
      <c r="I20" s="93"/>
      <c r="K20"/>
      <c r="N20" s="127">
        <f>E20*H20/2</f>
        <v>17.5</v>
      </c>
      <c r="O20" s="110"/>
      <c r="P20" s="110"/>
      <c r="Q20" s="110"/>
      <c r="R20" s="127">
        <f>N20</f>
        <v>17.5</v>
      </c>
      <c r="S20" s="110"/>
      <c r="T20" s="110"/>
    </row>
    <row r="21" spans="1:20" hidden="1">
      <c r="A21" s="131"/>
      <c r="B21" s="132"/>
      <c r="C21" s="132"/>
      <c r="D21" s="132"/>
      <c r="E21" s="133"/>
      <c r="F21" s="134"/>
      <c r="G21" s="132"/>
      <c r="H21" s="135"/>
      <c r="I21" s="136"/>
      <c r="K21" s="4"/>
      <c r="N21" s="137"/>
      <c r="O21" s="137"/>
      <c r="P21" s="137"/>
      <c r="Q21" s="137"/>
      <c r="R21" s="137"/>
      <c r="S21" s="137"/>
      <c r="T21" s="137"/>
    </row>
    <row r="22" spans="1:20" ht="15.95" hidden="1">
      <c r="A22" s="4" t="s">
        <v>2</v>
      </c>
      <c r="B22" s="30" t="s">
        <v>349</v>
      </c>
      <c r="C22" s="30" t="s">
        <v>299</v>
      </c>
      <c r="D22" s="30" t="s">
        <v>282</v>
      </c>
      <c r="E22" s="31">
        <v>25</v>
      </c>
      <c r="F22" s="125">
        <v>46142</v>
      </c>
      <c r="G22" s="30" t="s">
        <v>331</v>
      </c>
      <c r="H22" s="33">
        <v>0.15</v>
      </c>
      <c r="I22" s="93"/>
      <c r="K22"/>
      <c r="N22" s="110"/>
      <c r="O22" s="110"/>
      <c r="P22" s="110"/>
      <c r="Q22" s="110"/>
      <c r="R22" s="110"/>
      <c r="S22" s="110"/>
      <c r="T22" s="110"/>
    </row>
    <row r="23" spans="1:20" hidden="1">
      <c r="A23" s="131"/>
      <c r="B23" s="132"/>
      <c r="C23" s="132"/>
      <c r="D23" s="132"/>
      <c r="E23" s="133"/>
      <c r="F23" s="134"/>
      <c r="G23" s="132"/>
      <c r="H23" s="135"/>
      <c r="I23" s="136"/>
      <c r="K23" s="4"/>
      <c r="N23" s="137"/>
      <c r="O23" s="137"/>
      <c r="P23" s="137"/>
      <c r="Q23" s="137"/>
      <c r="R23" s="137"/>
      <c r="S23" s="137"/>
      <c r="T23" s="137"/>
    </row>
    <row r="24" spans="1:20" ht="15.95">
      <c r="A24" s="4" t="s">
        <v>2</v>
      </c>
      <c r="B24" s="30" t="s">
        <v>350</v>
      </c>
      <c r="C24" s="30" t="s">
        <v>237</v>
      </c>
      <c r="D24" s="30" t="s">
        <v>247</v>
      </c>
      <c r="E24" s="31">
        <v>2</v>
      </c>
      <c r="F24" s="125">
        <v>46142</v>
      </c>
      <c r="G24" s="30" t="s">
        <v>239</v>
      </c>
      <c r="H24" s="33">
        <v>0.7</v>
      </c>
      <c r="I24" s="93">
        <f>E24*H24</f>
        <v>1.4</v>
      </c>
      <c r="K24" s="89" t="s">
        <v>351</v>
      </c>
      <c r="N24" s="110"/>
      <c r="O24" s="110"/>
      <c r="P24" s="110"/>
      <c r="Q24" s="110"/>
      <c r="R24" s="110"/>
      <c r="S24" s="110"/>
      <c r="T24" s="110"/>
    </row>
    <row r="25" spans="1:20" hidden="1">
      <c r="A25" s="131"/>
      <c r="B25" s="132"/>
      <c r="C25" s="132"/>
      <c r="D25" s="132"/>
      <c r="E25" s="133"/>
      <c r="F25" s="134"/>
      <c r="G25" s="132"/>
      <c r="H25" s="135"/>
      <c r="I25" s="136"/>
      <c r="K25" s="4"/>
      <c r="N25" s="137"/>
      <c r="O25" s="137"/>
      <c r="P25" s="137"/>
      <c r="Q25" s="137"/>
      <c r="R25" s="137"/>
      <c r="S25" s="137"/>
      <c r="T25" s="137"/>
    </row>
    <row r="26" spans="1:20" ht="15.95">
      <c r="A26" s="4" t="s">
        <v>2</v>
      </c>
      <c r="B26" s="30" t="s">
        <v>352</v>
      </c>
      <c r="C26" s="30" t="s">
        <v>353</v>
      </c>
      <c r="D26" s="30" t="s">
        <v>247</v>
      </c>
      <c r="E26" s="31">
        <v>22</v>
      </c>
      <c r="F26" s="125">
        <v>46142</v>
      </c>
      <c r="G26" s="30" t="s">
        <v>261</v>
      </c>
      <c r="H26" s="33">
        <v>0.5</v>
      </c>
      <c r="I26" s="93">
        <f>E26*H26</f>
        <v>11</v>
      </c>
      <c r="K26" s="89" t="s">
        <v>317</v>
      </c>
      <c r="N26" s="110"/>
      <c r="O26" s="110"/>
      <c r="P26" s="110"/>
      <c r="Q26" s="110"/>
      <c r="R26" s="110"/>
      <c r="S26" s="110"/>
      <c r="T26" s="110"/>
    </row>
    <row r="27" spans="1:20" hidden="1">
      <c r="A27" s="131"/>
      <c r="B27" s="132"/>
      <c r="C27" s="132"/>
      <c r="D27" s="132"/>
      <c r="E27" s="133"/>
      <c r="F27" s="134"/>
      <c r="G27" s="132"/>
      <c r="H27" s="135"/>
      <c r="I27" s="136"/>
      <c r="K27" s="4"/>
      <c r="N27" s="137"/>
      <c r="O27" s="137"/>
      <c r="P27" s="137"/>
      <c r="Q27" s="137"/>
      <c r="R27" s="137"/>
      <c r="S27" s="137"/>
      <c r="T27" s="137"/>
    </row>
    <row r="28" spans="1:20" ht="15.95">
      <c r="A28" s="110" t="s">
        <v>2</v>
      </c>
      <c r="B28" s="30" t="s">
        <v>354</v>
      </c>
      <c r="C28" s="30" t="s">
        <v>355</v>
      </c>
      <c r="D28" s="30" t="s">
        <v>247</v>
      </c>
      <c r="E28" s="31">
        <v>85</v>
      </c>
      <c r="F28" s="125">
        <v>46142</v>
      </c>
      <c r="G28" s="30" t="s">
        <v>261</v>
      </c>
      <c r="H28" s="33">
        <v>0.5</v>
      </c>
      <c r="I28" s="93">
        <f>E28*H28</f>
        <v>42.5</v>
      </c>
      <c r="K28" s="89" t="s">
        <v>314</v>
      </c>
      <c r="N28" s="127">
        <f>I28*20%</f>
        <v>8.5</v>
      </c>
      <c r="O28" s="110"/>
      <c r="P28" s="127">
        <f>I28*25%</f>
        <v>10.625</v>
      </c>
      <c r="Q28" s="110"/>
      <c r="R28" s="127">
        <f>I28*15%</f>
        <v>6.375</v>
      </c>
      <c r="S28" s="127">
        <f>I28*10%</f>
        <v>4.25</v>
      </c>
      <c r="T28" s="127">
        <f>I28*15%</f>
        <v>6.375</v>
      </c>
    </row>
    <row r="29" spans="1:20" hidden="1">
      <c r="A29" s="131"/>
      <c r="B29" s="132"/>
      <c r="C29" s="132"/>
      <c r="D29" s="132"/>
      <c r="E29" s="133"/>
      <c r="F29" s="134"/>
      <c r="G29" s="132"/>
      <c r="H29" s="135"/>
      <c r="I29" s="136"/>
      <c r="K29" s="4"/>
      <c r="N29" s="137"/>
      <c r="O29" s="137"/>
      <c r="P29" s="137">
        <f>5*H28</f>
        <v>2.5</v>
      </c>
      <c r="Q29" s="137"/>
      <c r="R29" s="137"/>
      <c r="S29" s="137"/>
      <c r="T29" s="137">
        <f>25*H28</f>
        <v>12.5</v>
      </c>
    </row>
    <row r="30" spans="1:20" ht="15.95">
      <c r="A30" s="4" t="s">
        <v>147</v>
      </c>
      <c r="B30" s="30" t="s">
        <v>278</v>
      </c>
      <c r="C30" s="30" t="s">
        <v>249</v>
      </c>
      <c r="D30" s="30" t="s">
        <v>247</v>
      </c>
      <c r="E30" s="31">
        <v>12</v>
      </c>
      <c r="F30" s="125">
        <v>46142</v>
      </c>
      <c r="G30" s="30" t="s">
        <v>261</v>
      </c>
      <c r="H30" s="33">
        <v>0.5</v>
      </c>
      <c r="I30" s="93">
        <f>E30*H30</f>
        <v>6</v>
      </c>
      <c r="K30" s="89" t="s">
        <v>244</v>
      </c>
      <c r="L30" t="s">
        <v>346</v>
      </c>
      <c r="N30" s="110"/>
      <c r="O30" s="110"/>
      <c r="P30" s="110"/>
      <c r="Q30" s="110"/>
      <c r="R30" s="110"/>
      <c r="S30" s="110"/>
      <c r="T30" s="110"/>
    </row>
    <row r="31" spans="1:20" hidden="1">
      <c r="A31" s="131"/>
      <c r="B31" s="132"/>
      <c r="C31" s="132"/>
      <c r="D31" s="132"/>
      <c r="E31" s="133"/>
      <c r="F31" s="134"/>
      <c r="G31" s="132"/>
      <c r="H31" s="135"/>
      <c r="I31" s="136"/>
      <c r="K31" s="4"/>
      <c r="N31" s="137"/>
      <c r="O31" s="137"/>
      <c r="P31" s="137"/>
      <c r="Q31" s="137"/>
      <c r="R31" s="137"/>
      <c r="S31" s="137"/>
      <c r="T31" s="137"/>
    </row>
    <row r="32" spans="1:20" ht="15.95">
      <c r="A32" s="4" t="s">
        <v>21</v>
      </c>
      <c r="B32" s="30" t="s">
        <v>313</v>
      </c>
      <c r="C32" s="30" t="s">
        <v>356</v>
      </c>
      <c r="D32" s="30" t="s">
        <v>238</v>
      </c>
      <c r="E32" s="31">
        <v>31</v>
      </c>
      <c r="F32" s="125">
        <v>46142</v>
      </c>
      <c r="G32" s="30" t="s">
        <v>243</v>
      </c>
      <c r="H32" s="33">
        <v>0.9</v>
      </c>
      <c r="I32" s="93">
        <f>E32*H32</f>
        <v>27.900000000000002</v>
      </c>
      <c r="K32" s="89" t="s">
        <v>346</v>
      </c>
      <c r="N32" s="110"/>
      <c r="O32" s="110"/>
      <c r="P32" s="110"/>
      <c r="Q32" s="110"/>
      <c r="R32" s="110"/>
      <c r="S32" s="110"/>
      <c r="T32" s="110"/>
    </row>
    <row r="33" spans="1:20" hidden="1">
      <c r="A33" s="131"/>
      <c r="B33" s="132"/>
      <c r="C33" s="132"/>
      <c r="D33" s="132"/>
      <c r="E33" s="133"/>
      <c r="F33" s="134"/>
      <c r="G33" s="132"/>
      <c r="H33" s="135"/>
      <c r="I33" s="136"/>
      <c r="K33" s="4"/>
      <c r="N33" s="137"/>
      <c r="O33" s="137"/>
      <c r="P33" s="137"/>
      <c r="Q33" s="137"/>
      <c r="R33" s="137"/>
      <c r="S33" s="137"/>
      <c r="T33" s="137"/>
    </row>
    <row r="34" spans="1:20" ht="15.95">
      <c r="A34" s="4" t="s">
        <v>21</v>
      </c>
      <c r="B34" s="30" t="s">
        <v>357</v>
      </c>
      <c r="C34" s="30" t="s">
        <v>343</v>
      </c>
      <c r="D34" s="30" t="s">
        <v>247</v>
      </c>
      <c r="E34" s="31">
        <v>3</v>
      </c>
      <c r="F34" s="125">
        <v>46142</v>
      </c>
      <c r="G34" s="30" t="s">
        <v>261</v>
      </c>
      <c r="H34" s="33">
        <v>0.6</v>
      </c>
      <c r="I34" s="93">
        <f>E34*H34</f>
        <v>1.7999999999999998</v>
      </c>
      <c r="K34" s="89" t="s">
        <v>312</v>
      </c>
      <c r="L34" t="s">
        <v>358</v>
      </c>
      <c r="N34" s="110"/>
      <c r="O34" s="110"/>
      <c r="P34" s="110"/>
      <c r="Q34" s="110"/>
      <c r="R34" s="110"/>
      <c r="S34" s="110"/>
      <c r="T34" s="110"/>
    </row>
    <row r="35" spans="1:20" hidden="1">
      <c r="A35" s="131"/>
      <c r="B35" s="132"/>
      <c r="C35" s="132"/>
      <c r="D35" s="132"/>
      <c r="E35" s="133"/>
      <c r="F35" s="134"/>
      <c r="G35" s="132"/>
      <c r="H35" s="135"/>
      <c r="I35" s="136"/>
      <c r="K35" s="4"/>
      <c r="N35" s="137"/>
      <c r="O35" s="137"/>
      <c r="P35" s="137"/>
      <c r="Q35" s="137"/>
      <c r="R35" s="137"/>
      <c r="S35" s="137"/>
      <c r="T35" s="137"/>
    </row>
    <row r="36" spans="1:20" ht="15.95">
      <c r="A36" s="4" t="s">
        <v>21</v>
      </c>
      <c r="B36" s="30" t="s">
        <v>258</v>
      </c>
      <c r="C36" s="30" t="s">
        <v>320</v>
      </c>
      <c r="D36" s="30" t="s">
        <v>238</v>
      </c>
      <c r="E36" s="31">
        <v>40</v>
      </c>
      <c r="F36" s="125">
        <v>46142</v>
      </c>
      <c r="G36" s="30" t="s">
        <v>243</v>
      </c>
      <c r="H36" s="33">
        <v>0.9</v>
      </c>
      <c r="I36" s="93">
        <f>E36*H36</f>
        <v>36</v>
      </c>
      <c r="K36" s="89" t="s">
        <v>314</v>
      </c>
      <c r="N36" s="110"/>
      <c r="O36" s="110"/>
      <c r="P36" s="110"/>
      <c r="Q36" s="110"/>
      <c r="R36" s="110"/>
      <c r="S36" s="110"/>
      <c r="T36" s="110"/>
    </row>
    <row r="37" spans="1:20" hidden="1">
      <c r="A37" s="131"/>
      <c r="B37" s="132"/>
      <c r="C37" s="132"/>
      <c r="D37" s="132"/>
      <c r="E37" s="133"/>
      <c r="F37" s="134"/>
      <c r="G37" s="132"/>
      <c r="H37" s="135"/>
      <c r="I37" s="136"/>
      <c r="K37"/>
      <c r="N37" s="137"/>
      <c r="O37" s="137"/>
      <c r="P37" s="137"/>
      <c r="Q37" s="137"/>
      <c r="R37" s="137"/>
      <c r="S37" s="137"/>
      <c r="T37" s="137"/>
    </row>
    <row r="38" spans="1:20" ht="15.95">
      <c r="A38" s="4" t="s">
        <v>21</v>
      </c>
      <c r="B38" s="30" t="s">
        <v>281</v>
      </c>
      <c r="C38" s="30"/>
      <c r="D38" s="30" t="s">
        <v>238</v>
      </c>
      <c r="E38" s="31">
        <v>35</v>
      </c>
      <c r="F38" s="125">
        <v>46157</v>
      </c>
      <c r="G38" s="30" t="s">
        <v>243</v>
      </c>
      <c r="H38" s="33">
        <v>0.7</v>
      </c>
      <c r="I38" s="93">
        <f>E38*H38</f>
        <v>24.5</v>
      </c>
      <c r="K38"/>
      <c r="N38" s="110"/>
      <c r="O38" s="110"/>
      <c r="P38" s="110"/>
      <c r="Q38" s="110"/>
      <c r="R38" s="110"/>
      <c r="S38" s="110"/>
      <c r="T38" s="110"/>
    </row>
    <row r="39" spans="1:20" hidden="1">
      <c r="A39" s="131"/>
      <c r="B39" s="132"/>
      <c r="C39" s="132"/>
      <c r="D39" s="132"/>
      <c r="E39" s="133"/>
      <c r="F39" s="134"/>
      <c r="G39" s="132"/>
      <c r="H39" s="135"/>
      <c r="I39" s="136"/>
      <c r="K39"/>
      <c r="N39" s="137"/>
      <c r="O39" s="137"/>
      <c r="P39" s="137"/>
      <c r="Q39" s="137"/>
      <c r="R39" s="137"/>
      <c r="S39" s="137"/>
      <c r="T39" s="137"/>
    </row>
    <row r="40" spans="1:20" ht="15.95" hidden="1">
      <c r="A40" s="4" t="s">
        <v>2</v>
      </c>
      <c r="B40" s="30" t="s">
        <v>359</v>
      </c>
      <c r="C40" s="30" t="s">
        <v>39</v>
      </c>
      <c r="D40" s="30" t="s">
        <v>247</v>
      </c>
      <c r="E40" s="31">
        <v>250</v>
      </c>
      <c r="F40" s="125">
        <v>46170</v>
      </c>
      <c r="G40" s="30" t="s">
        <v>360</v>
      </c>
      <c r="H40" s="33">
        <v>0.5</v>
      </c>
      <c r="I40" s="93"/>
      <c r="K40"/>
      <c r="N40" s="110"/>
      <c r="O40" s="110"/>
      <c r="P40" s="110"/>
      <c r="Q40" s="110"/>
      <c r="R40" s="110"/>
      <c r="S40" s="110"/>
      <c r="T40" s="110"/>
    </row>
    <row r="41" spans="1:20" hidden="1">
      <c r="A41" s="131"/>
      <c r="B41" s="132"/>
      <c r="C41" s="132"/>
      <c r="D41" s="132"/>
      <c r="E41" s="133"/>
      <c r="F41" s="134"/>
      <c r="G41" s="132"/>
      <c r="H41" s="135"/>
      <c r="I41" s="136"/>
      <c r="K41"/>
      <c r="N41" s="137"/>
      <c r="O41" s="137"/>
      <c r="P41" s="137"/>
      <c r="Q41" s="137"/>
      <c r="R41" s="137"/>
      <c r="S41" s="137"/>
      <c r="T41" s="137"/>
    </row>
    <row r="42" spans="1:20" ht="15.95">
      <c r="A42" s="4" t="s">
        <v>2</v>
      </c>
      <c r="B42" s="30" t="s">
        <v>361</v>
      </c>
      <c r="C42" s="30" t="s">
        <v>362</v>
      </c>
      <c r="D42" s="30" t="s">
        <v>282</v>
      </c>
      <c r="E42" s="31">
        <v>60</v>
      </c>
      <c r="F42" s="125">
        <v>46171</v>
      </c>
      <c r="G42" s="30" t="s">
        <v>252</v>
      </c>
      <c r="H42" s="33">
        <v>0.7</v>
      </c>
      <c r="I42" s="93">
        <f>E42*H42</f>
        <v>42</v>
      </c>
      <c r="K42"/>
      <c r="N42" s="110"/>
      <c r="O42" s="110"/>
      <c r="P42" s="110"/>
      <c r="Q42" s="110"/>
      <c r="R42" s="110"/>
      <c r="S42" s="110"/>
      <c r="T42" s="110"/>
    </row>
    <row r="43" spans="1:20" hidden="1">
      <c r="A43" s="131"/>
      <c r="B43" s="132"/>
      <c r="C43" s="132"/>
      <c r="D43" s="132"/>
      <c r="E43" s="133"/>
      <c r="F43" s="134"/>
      <c r="G43" s="132"/>
      <c r="H43" s="135"/>
      <c r="I43" s="136"/>
      <c r="K43"/>
      <c r="N43" s="137"/>
      <c r="O43" s="137"/>
      <c r="P43" s="137"/>
      <c r="Q43" s="137"/>
      <c r="R43" s="137"/>
      <c r="S43" s="137"/>
      <c r="T43" s="137"/>
    </row>
    <row r="44" spans="1:20" ht="15.95" hidden="1">
      <c r="A44" s="4" t="s">
        <v>2</v>
      </c>
      <c r="B44" s="30" t="s">
        <v>363</v>
      </c>
      <c r="C44" s="30" t="s">
        <v>364</v>
      </c>
      <c r="D44" s="30" t="s">
        <v>238</v>
      </c>
      <c r="E44" s="31">
        <v>80</v>
      </c>
      <c r="F44" s="125">
        <v>46171</v>
      </c>
      <c r="G44" s="30" t="s">
        <v>331</v>
      </c>
      <c r="H44" s="33">
        <v>0.6</v>
      </c>
      <c r="I44" s="93"/>
      <c r="K44"/>
      <c r="N44" s="110"/>
      <c r="O44" s="110"/>
      <c r="P44" s="127">
        <f>E44*H44*20%</f>
        <v>9.6000000000000014</v>
      </c>
      <c r="Q44" s="127">
        <f>E44*H44*25%</f>
        <v>12</v>
      </c>
      <c r="R44" s="110"/>
      <c r="S44" s="110"/>
      <c r="T44" s="127">
        <f>E44*H44*50%</f>
        <v>24</v>
      </c>
    </row>
    <row r="45" spans="1:20" hidden="1">
      <c r="A45" s="131"/>
      <c r="B45" s="132"/>
      <c r="C45" s="132"/>
      <c r="D45" s="132"/>
      <c r="E45" s="133"/>
      <c r="F45" s="134"/>
      <c r="G45" s="132"/>
      <c r="H45" s="135"/>
      <c r="I45" s="136"/>
      <c r="K45"/>
      <c r="N45" s="137"/>
      <c r="O45" s="137">
        <f>H44*1.5</f>
        <v>0.89999999999999991</v>
      </c>
      <c r="P45" s="137"/>
      <c r="Q45" s="137"/>
      <c r="R45" s="137">
        <f>H44*2.5</f>
        <v>1.5</v>
      </c>
      <c r="S45" s="137">
        <f>H44*1.4</f>
        <v>0.84</v>
      </c>
      <c r="T45" s="137">
        <f>H44*23</f>
        <v>13.799999999999999</v>
      </c>
    </row>
    <row r="46" spans="1:20" ht="15.95" hidden="1">
      <c r="A46" s="4" t="s">
        <v>2</v>
      </c>
      <c r="B46" s="30" t="s">
        <v>365</v>
      </c>
      <c r="C46" s="30" t="s">
        <v>366</v>
      </c>
      <c r="D46" s="30" t="s">
        <v>282</v>
      </c>
      <c r="E46" s="31">
        <v>70</v>
      </c>
      <c r="F46" s="125">
        <v>46171</v>
      </c>
      <c r="G46" s="30" t="s">
        <v>331</v>
      </c>
      <c r="H46" s="33">
        <v>0.5</v>
      </c>
      <c r="I46" s="93"/>
      <c r="K46"/>
      <c r="N46" s="110"/>
      <c r="O46" s="110"/>
      <c r="P46" s="110"/>
      <c r="Q46" s="110"/>
      <c r="R46" s="110"/>
      <c r="S46" s="110"/>
      <c r="T46" s="110"/>
    </row>
    <row r="47" spans="1:20" hidden="1">
      <c r="A47" s="131"/>
      <c r="B47" s="132"/>
      <c r="C47" s="132"/>
      <c r="D47" s="132"/>
      <c r="E47" s="133"/>
      <c r="F47" s="134"/>
      <c r="G47" s="132"/>
      <c r="H47" s="135"/>
      <c r="I47" s="136"/>
      <c r="K47"/>
      <c r="N47" s="137"/>
      <c r="O47" s="137"/>
      <c r="P47" s="137"/>
      <c r="Q47" s="137"/>
      <c r="R47" s="137"/>
      <c r="S47" s="137"/>
      <c r="T47" s="137"/>
    </row>
    <row r="48" spans="1:20" ht="15.95" hidden="1">
      <c r="A48" s="4" t="s">
        <v>2</v>
      </c>
      <c r="B48" s="30" t="s">
        <v>367</v>
      </c>
      <c r="C48" s="30"/>
      <c r="D48" s="30" t="s">
        <v>238</v>
      </c>
      <c r="E48" s="31">
        <v>20</v>
      </c>
      <c r="F48" s="125">
        <v>46171</v>
      </c>
      <c r="G48" s="30" t="s">
        <v>331</v>
      </c>
      <c r="H48" s="33">
        <v>0.6</v>
      </c>
      <c r="I48" s="93"/>
      <c r="K48"/>
      <c r="N48" s="110"/>
      <c r="O48" s="110"/>
      <c r="P48" s="110"/>
      <c r="Q48" s="110"/>
      <c r="R48" s="110"/>
      <c r="S48" s="110"/>
      <c r="T48" s="110"/>
    </row>
    <row r="49" spans="1:20" hidden="1">
      <c r="A49" s="131"/>
      <c r="B49" s="132"/>
      <c r="C49" s="132"/>
      <c r="D49" s="132"/>
      <c r="E49" s="133"/>
      <c r="F49" s="134"/>
      <c r="G49" s="132"/>
      <c r="H49" s="135"/>
      <c r="I49" s="136"/>
      <c r="K49"/>
      <c r="N49" s="137"/>
      <c r="O49" s="137"/>
      <c r="P49" s="137"/>
      <c r="Q49" s="137"/>
      <c r="R49" s="137"/>
      <c r="S49" s="137"/>
      <c r="T49" s="137"/>
    </row>
    <row r="50" spans="1:20" ht="15.95">
      <c r="A50" s="4" t="s">
        <v>2</v>
      </c>
      <c r="B50" s="30" t="s">
        <v>266</v>
      </c>
      <c r="C50" s="30" t="s">
        <v>343</v>
      </c>
      <c r="D50" s="30" t="s">
        <v>242</v>
      </c>
      <c r="E50" s="31">
        <v>75</v>
      </c>
      <c r="F50" s="125">
        <v>46171</v>
      </c>
      <c r="G50" s="30" t="s">
        <v>261</v>
      </c>
      <c r="H50" s="33">
        <v>0.9</v>
      </c>
      <c r="I50" s="93">
        <f>E50*H50</f>
        <v>67.5</v>
      </c>
      <c r="J50" t="s">
        <v>368</v>
      </c>
      <c r="K50"/>
      <c r="N50" s="110"/>
      <c r="O50" s="110"/>
      <c r="P50" s="110"/>
      <c r="Q50" s="110"/>
      <c r="R50" s="110"/>
      <c r="S50" s="110"/>
      <c r="T50" s="110"/>
    </row>
    <row r="51" spans="1:20" hidden="1">
      <c r="A51" s="131"/>
      <c r="B51" s="132"/>
      <c r="C51" s="132"/>
      <c r="D51" s="132"/>
      <c r="E51" s="133"/>
      <c r="F51" s="134"/>
      <c r="G51" s="132"/>
      <c r="H51" s="135"/>
      <c r="I51" s="136"/>
      <c r="K51"/>
      <c r="N51" s="137"/>
      <c r="O51" s="137"/>
      <c r="P51" s="137"/>
      <c r="Q51" s="137"/>
      <c r="R51" s="137"/>
      <c r="S51" s="137"/>
      <c r="T51" s="137"/>
    </row>
    <row r="52" spans="1:20" ht="15.95">
      <c r="A52" s="4" t="s">
        <v>2</v>
      </c>
      <c r="B52" s="30" t="s">
        <v>256</v>
      </c>
      <c r="C52" s="30" t="s">
        <v>257</v>
      </c>
      <c r="D52" s="30" t="s">
        <v>242</v>
      </c>
      <c r="E52" s="31">
        <v>145</v>
      </c>
      <c r="F52" s="125">
        <v>46171</v>
      </c>
      <c r="G52" s="30" t="s">
        <v>239</v>
      </c>
      <c r="H52" s="33">
        <v>0.5</v>
      </c>
      <c r="I52" s="93">
        <f>E52*H52</f>
        <v>72.5</v>
      </c>
      <c r="J52" t="s">
        <v>368</v>
      </c>
      <c r="K52"/>
      <c r="N52" s="110"/>
      <c r="O52" s="110"/>
      <c r="P52" s="110"/>
      <c r="Q52" s="110"/>
      <c r="R52" s="110"/>
      <c r="S52" s="110"/>
      <c r="T52" s="110"/>
    </row>
    <row r="53" spans="1:20" hidden="1">
      <c r="A53" s="131"/>
      <c r="B53" s="132"/>
      <c r="C53" s="132"/>
      <c r="D53" s="132"/>
      <c r="E53" s="133"/>
      <c r="F53" s="134"/>
      <c r="G53" s="132"/>
      <c r="H53" s="135"/>
      <c r="I53" s="136"/>
      <c r="K53"/>
      <c r="N53" s="137"/>
      <c r="O53" s="137"/>
      <c r="P53" s="137"/>
      <c r="Q53" s="137"/>
      <c r="R53" s="137"/>
      <c r="S53" s="137"/>
      <c r="T53" s="137"/>
    </row>
    <row r="54" spans="1:20" ht="15.95" hidden="1">
      <c r="A54" s="4" t="s">
        <v>2</v>
      </c>
      <c r="B54" s="30" t="s">
        <v>369</v>
      </c>
      <c r="C54" s="30" t="s">
        <v>237</v>
      </c>
      <c r="D54" s="30" t="s">
        <v>247</v>
      </c>
      <c r="E54" s="31">
        <v>160</v>
      </c>
      <c r="F54" s="125">
        <v>46171</v>
      </c>
      <c r="G54" s="30" t="s">
        <v>331</v>
      </c>
      <c r="H54" s="33">
        <v>0.7</v>
      </c>
      <c r="I54" s="93"/>
      <c r="K54"/>
      <c r="N54" s="110"/>
      <c r="O54" s="110"/>
      <c r="P54" s="110"/>
      <c r="Q54" s="127">
        <f>E54*H54*10%</f>
        <v>11.200000000000001</v>
      </c>
      <c r="R54" s="110"/>
      <c r="S54" s="110"/>
      <c r="T54" s="110"/>
    </row>
    <row r="55" spans="1:20" hidden="1">
      <c r="A55" s="131"/>
      <c r="B55" s="132"/>
      <c r="C55" s="132"/>
      <c r="D55" s="132"/>
      <c r="E55" s="133"/>
      <c r="F55" s="134"/>
      <c r="G55" s="132"/>
      <c r="H55" s="135"/>
      <c r="I55" s="136"/>
      <c r="K55"/>
      <c r="N55" s="137"/>
      <c r="O55" s="137"/>
      <c r="P55" s="139">
        <f>1.3*H54</f>
        <v>0.90999999999999992</v>
      </c>
      <c r="Q55" s="139">
        <f>0.4*H54</f>
        <v>0.27999999999999997</v>
      </c>
      <c r="R55" s="139"/>
      <c r="S55" s="139"/>
      <c r="T55" s="139">
        <f>9.3*H54</f>
        <v>6.51</v>
      </c>
    </row>
    <row r="56" spans="1:20" ht="15.95" hidden="1">
      <c r="A56" s="4" t="s">
        <v>2</v>
      </c>
      <c r="B56" s="30" t="s">
        <v>370</v>
      </c>
      <c r="C56" s="30" t="s">
        <v>371</v>
      </c>
      <c r="D56" s="30" t="s">
        <v>282</v>
      </c>
      <c r="E56" s="31">
        <v>60</v>
      </c>
      <c r="F56" s="125">
        <v>46171</v>
      </c>
      <c r="G56" s="30" t="s">
        <v>331</v>
      </c>
      <c r="H56" s="33">
        <v>0.5</v>
      </c>
      <c r="I56" s="93"/>
      <c r="K56"/>
      <c r="N56" s="110"/>
      <c r="O56" s="110"/>
      <c r="P56" s="110"/>
      <c r="Q56" s="110"/>
      <c r="R56" s="110"/>
      <c r="S56" s="110"/>
      <c r="T56" s="110"/>
    </row>
    <row r="57" spans="1:20" hidden="1">
      <c r="A57" s="131"/>
      <c r="B57" s="132"/>
      <c r="C57" s="132"/>
      <c r="D57" s="132"/>
      <c r="E57" s="133"/>
      <c r="F57" s="134"/>
      <c r="G57" s="132"/>
      <c r="H57" s="135"/>
      <c r="I57" s="136"/>
      <c r="K57"/>
      <c r="N57" s="137"/>
      <c r="O57" s="137"/>
      <c r="P57" s="137"/>
      <c r="Q57" s="137"/>
      <c r="R57" s="137"/>
      <c r="S57" s="137"/>
      <c r="T57" s="137"/>
    </row>
    <row r="58" spans="1:20" ht="15.95">
      <c r="A58" s="4" t="s">
        <v>2</v>
      </c>
      <c r="B58" s="30" t="s">
        <v>372</v>
      </c>
      <c r="C58" s="30"/>
      <c r="D58" s="30" t="s">
        <v>238</v>
      </c>
      <c r="E58" s="31">
        <v>30</v>
      </c>
      <c r="F58" s="125">
        <v>46171</v>
      </c>
      <c r="G58" s="30" t="s">
        <v>261</v>
      </c>
      <c r="H58" s="33">
        <v>0.05</v>
      </c>
      <c r="I58" s="93">
        <f>E58*H58</f>
        <v>1.5</v>
      </c>
      <c r="K58"/>
      <c r="N58" s="110"/>
      <c r="O58" s="110"/>
      <c r="P58" s="110"/>
      <c r="Q58" s="110"/>
      <c r="R58" s="110"/>
      <c r="S58" s="110"/>
      <c r="T58" s="110"/>
    </row>
    <row r="59" spans="1:20" hidden="1">
      <c r="A59" s="131"/>
      <c r="B59" s="132"/>
      <c r="C59" s="132"/>
      <c r="D59" s="132"/>
      <c r="E59" s="133"/>
      <c r="F59" s="134"/>
      <c r="G59" s="132"/>
      <c r="H59" s="135"/>
      <c r="I59" s="136"/>
      <c r="K59"/>
      <c r="N59" s="137"/>
      <c r="O59" s="137"/>
      <c r="P59" s="137"/>
      <c r="Q59" s="137"/>
      <c r="R59" s="137"/>
      <c r="S59" s="137"/>
      <c r="T59" s="137"/>
    </row>
    <row r="60" spans="1:20" ht="15.95">
      <c r="A60" s="4" t="s">
        <v>2</v>
      </c>
      <c r="B60" s="30" t="s">
        <v>250</v>
      </c>
      <c r="C60" s="30" t="s">
        <v>373</v>
      </c>
      <c r="D60" s="30" t="s">
        <v>247</v>
      </c>
      <c r="E60" s="31">
        <v>39</v>
      </c>
      <c r="F60" s="125">
        <v>46171</v>
      </c>
      <c r="G60" s="30" t="s">
        <v>239</v>
      </c>
      <c r="H60" s="33">
        <v>0.7</v>
      </c>
      <c r="I60" s="93">
        <f>E60*H60</f>
        <v>27.299999999999997</v>
      </c>
      <c r="K60"/>
      <c r="N60" s="110"/>
      <c r="O60" s="110"/>
      <c r="P60" s="110"/>
      <c r="Q60" s="110"/>
      <c r="R60" s="110"/>
      <c r="S60" s="110"/>
      <c r="T60" s="110"/>
    </row>
    <row r="61" spans="1:20" hidden="1">
      <c r="A61" s="131"/>
      <c r="B61" s="132"/>
      <c r="C61" s="132"/>
      <c r="D61" s="132"/>
      <c r="E61" s="133"/>
      <c r="F61" s="134"/>
      <c r="G61" s="132"/>
      <c r="H61" s="135"/>
      <c r="I61" s="136"/>
      <c r="K61"/>
      <c r="N61" s="137"/>
      <c r="O61" s="137"/>
      <c r="P61" s="137"/>
      <c r="Q61" s="137"/>
      <c r="R61" s="137"/>
      <c r="S61" s="137"/>
      <c r="T61" s="137"/>
    </row>
    <row r="62" spans="1:20" ht="15.95" hidden="1">
      <c r="A62" s="4" t="s">
        <v>2</v>
      </c>
      <c r="B62" s="30" t="s">
        <v>374</v>
      </c>
      <c r="C62" s="30" t="s">
        <v>356</v>
      </c>
      <c r="D62" s="30" t="s">
        <v>247</v>
      </c>
      <c r="E62" s="31">
        <v>300</v>
      </c>
      <c r="F62" s="125">
        <v>46171</v>
      </c>
      <c r="G62" s="30" t="s">
        <v>331</v>
      </c>
      <c r="H62" s="33">
        <v>0.6</v>
      </c>
      <c r="I62" s="93"/>
      <c r="K62"/>
      <c r="N62" s="110"/>
      <c r="O62" s="110"/>
      <c r="P62" s="110"/>
      <c r="Q62" s="110"/>
      <c r="R62" s="110"/>
      <c r="S62" s="110"/>
      <c r="T62" s="110"/>
    </row>
    <row r="63" spans="1:20" hidden="1">
      <c r="A63" s="131"/>
      <c r="B63" s="132"/>
      <c r="C63" s="132"/>
      <c r="D63" s="132"/>
      <c r="E63" s="133"/>
      <c r="F63" s="134"/>
      <c r="G63" s="132"/>
      <c r="H63" s="135"/>
      <c r="I63" s="136"/>
      <c r="K63"/>
      <c r="N63" s="137"/>
      <c r="O63" s="137"/>
      <c r="P63" s="137"/>
      <c r="Q63" s="137"/>
      <c r="R63" s="137"/>
      <c r="S63" s="137"/>
      <c r="T63" s="137"/>
    </row>
    <row r="64" spans="1:20" ht="15.95">
      <c r="A64" s="4" t="s">
        <v>2</v>
      </c>
      <c r="B64" s="30" t="s">
        <v>375</v>
      </c>
      <c r="C64" s="30" t="s">
        <v>376</v>
      </c>
      <c r="D64" s="30" t="s">
        <v>247</v>
      </c>
      <c r="E64" s="31">
        <v>70</v>
      </c>
      <c r="F64" s="125">
        <v>46171</v>
      </c>
      <c r="G64" s="30" t="s">
        <v>261</v>
      </c>
      <c r="H64" s="33">
        <v>0.5</v>
      </c>
      <c r="I64" s="93">
        <f>E64*H64</f>
        <v>35</v>
      </c>
      <c r="K64"/>
      <c r="N64" s="110"/>
      <c r="O64" s="110"/>
      <c r="P64" s="110"/>
      <c r="Q64" s="110"/>
      <c r="R64" s="110"/>
      <c r="S64" s="110"/>
      <c r="T64" s="110"/>
    </row>
    <row r="65" spans="1:20" hidden="1">
      <c r="A65" s="131"/>
      <c r="B65" s="132"/>
      <c r="C65" s="132"/>
      <c r="D65" s="132"/>
      <c r="E65" s="133"/>
      <c r="F65" s="134"/>
      <c r="G65" s="132"/>
      <c r="H65" s="135"/>
      <c r="I65" s="136"/>
      <c r="K65"/>
      <c r="N65" s="137"/>
      <c r="O65" s="137"/>
      <c r="P65" s="137"/>
      <c r="Q65" s="137"/>
      <c r="R65" s="137"/>
      <c r="S65" s="137"/>
      <c r="T65" s="137"/>
    </row>
    <row r="66" spans="1:20" ht="15.95">
      <c r="A66" s="4" t="s">
        <v>2</v>
      </c>
      <c r="B66" s="30" t="s">
        <v>377</v>
      </c>
      <c r="C66" s="30" t="s">
        <v>378</v>
      </c>
      <c r="D66" s="30" t="s">
        <v>282</v>
      </c>
      <c r="E66" s="31">
        <v>21</v>
      </c>
      <c r="F66" s="125">
        <v>46171</v>
      </c>
      <c r="G66" s="30" t="s">
        <v>261</v>
      </c>
      <c r="H66" s="33">
        <v>0.25</v>
      </c>
      <c r="I66" s="93">
        <f>E66*H66</f>
        <v>5.25</v>
      </c>
      <c r="K66"/>
      <c r="N66" s="110"/>
      <c r="O66" s="110"/>
      <c r="P66" s="110"/>
      <c r="Q66" s="110"/>
      <c r="R66" s="110"/>
      <c r="S66" s="110"/>
      <c r="T66" s="110"/>
    </row>
    <row r="67" spans="1:20" hidden="1">
      <c r="A67" s="131"/>
      <c r="B67" s="132"/>
      <c r="C67" s="132"/>
      <c r="D67" s="132"/>
      <c r="E67" s="133"/>
      <c r="F67" s="134"/>
      <c r="G67" s="132"/>
      <c r="H67" s="135"/>
      <c r="I67" s="136"/>
      <c r="K67"/>
      <c r="N67" s="137"/>
      <c r="O67" s="137"/>
      <c r="P67" s="137"/>
      <c r="Q67" s="137"/>
      <c r="R67" s="137"/>
      <c r="S67" s="137"/>
      <c r="T67" s="137"/>
    </row>
    <row r="68" spans="1:20" ht="15.95">
      <c r="A68" s="4" t="s">
        <v>2</v>
      </c>
      <c r="B68" s="30" t="s">
        <v>271</v>
      </c>
      <c r="C68" s="30" t="s">
        <v>379</v>
      </c>
      <c r="D68" s="30" t="s">
        <v>238</v>
      </c>
      <c r="E68" s="31">
        <v>70</v>
      </c>
      <c r="F68" s="125">
        <v>46171</v>
      </c>
      <c r="G68" s="30" t="s">
        <v>261</v>
      </c>
      <c r="H68" s="33">
        <v>0.5</v>
      </c>
      <c r="I68" s="93">
        <f>E68*H68</f>
        <v>35</v>
      </c>
      <c r="K68"/>
      <c r="N68" s="110"/>
      <c r="O68" s="110"/>
      <c r="P68" s="110"/>
      <c r="Q68" s="110"/>
      <c r="R68" s="110"/>
      <c r="S68" s="110"/>
      <c r="T68" s="110"/>
    </row>
    <row r="69" spans="1:20" hidden="1">
      <c r="A69" s="131"/>
      <c r="B69" s="132"/>
      <c r="C69" s="132"/>
      <c r="D69" s="132"/>
      <c r="E69" s="133"/>
      <c r="F69" s="134"/>
      <c r="G69" s="132"/>
      <c r="H69" s="135"/>
      <c r="I69" s="136"/>
      <c r="K69"/>
      <c r="N69" s="137"/>
      <c r="O69" s="137"/>
      <c r="P69" s="137"/>
      <c r="Q69" s="137"/>
      <c r="R69" s="137"/>
      <c r="S69" s="137"/>
      <c r="T69" s="137"/>
    </row>
    <row r="70" spans="1:20" ht="15.95" hidden="1">
      <c r="A70" s="4" t="s">
        <v>21</v>
      </c>
      <c r="B70" s="30" t="s">
        <v>380</v>
      </c>
      <c r="C70" s="30"/>
      <c r="D70" s="30" t="s">
        <v>238</v>
      </c>
      <c r="E70" s="31">
        <v>60</v>
      </c>
      <c r="F70" s="125">
        <v>46171</v>
      </c>
      <c r="G70" s="30" t="s">
        <v>331</v>
      </c>
      <c r="H70" s="33">
        <v>0.6</v>
      </c>
      <c r="I70" s="93"/>
      <c r="K70"/>
      <c r="N70" s="110"/>
      <c r="O70" s="110"/>
      <c r="P70" s="110"/>
      <c r="Q70" s="110"/>
      <c r="R70" s="110"/>
      <c r="S70" s="110"/>
      <c r="T70" s="110"/>
    </row>
    <row r="71" spans="1:20" hidden="1">
      <c r="A71" s="131"/>
      <c r="B71" s="132"/>
      <c r="C71" s="132"/>
      <c r="D71" s="132"/>
      <c r="E71" s="133"/>
      <c r="F71" s="134"/>
      <c r="G71" s="132"/>
      <c r="H71" s="135"/>
      <c r="I71" s="136"/>
      <c r="K71"/>
      <c r="N71" s="137"/>
      <c r="O71" s="137"/>
      <c r="P71" s="137"/>
      <c r="Q71" s="137"/>
      <c r="R71" s="137"/>
      <c r="S71" s="137"/>
      <c r="T71" s="137"/>
    </row>
    <row r="72" spans="1:20" ht="15.95" hidden="1">
      <c r="A72" s="4" t="s">
        <v>21</v>
      </c>
      <c r="B72" s="30" t="s">
        <v>381</v>
      </c>
      <c r="C72" s="30" t="s">
        <v>382</v>
      </c>
      <c r="D72" s="30" t="s">
        <v>238</v>
      </c>
      <c r="E72" s="31">
        <v>88</v>
      </c>
      <c r="F72" s="125">
        <v>46171</v>
      </c>
      <c r="G72" s="30" t="s">
        <v>360</v>
      </c>
      <c r="H72" s="33">
        <v>0.5</v>
      </c>
      <c r="I72" s="93"/>
      <c r="K72"/>
      <c r="N72" s="110"/>
      <c r="O72" s="110"/>
      <c r="P72" s="110"/>
      <c r="Q72" s="110"/>
      <c r="R72" s="110"/>
      <c r="S72" s="110"/>
      <c r="T72" s="110"/>
    </row>
    <row r="73" spans="1:20" hidden="1">
      <c r="A73" s="131"/>
      <c r="B73" s="132"/>
      <c r="C73" s="132"/>
      <c r="D73" s="132"/>
      <c r="E73" s="133"/>
      <c r="F73" s="134"/>
      <c r="G73" s="132"/>
      <c r="H73" s="135"/>
      <c r="I73" s="136"/>
      <c r="K73"/>
      <c r="N73" s="137"/>
      <c r="O73" s="137"/>
      <c r="P73" s="137"/>
      <c r="Q73" s="137"/>
      <c r="R73" s="137"/>
      <c r="S73" s="137"/>
      <c r="T73" s="137"/>
    </row>
    <row r="74" spans="1:20" ht="15.95" hidden="1">
      <c r="A74" s="4" t="s">
        <v>21</v>
      </c>
      <c r="B74" s="30" t="s">
        <v>383</v>
      </c>
      <c r="C74" s="30"/>
      <c r="D74" s="30" t="s">
        <v>238</v>
      </c>
      <c r="E74" s="31">
        <v>100</v>
      </c>
      <c r="F74" s="125">
        <v>46171</v>
      </c>
      <c r="G74" s="30" t="s">
        <v>360</v>
      </c>
      <c r="H74" s="33">
        <v>0.15</v>
      </c>
      <c r="I74" s="93"/>
      <c r="K74"/>
      <c r="N74" s="110"/>
      <c r="O74" s="110"/>
      <c r="P74" s="110"/>
      <c r="Q74" s="110"/>
      <c r="R74" s="110"/>
      <c r="S74" s="110"/>
      <c r="T74" s="110"/>
    </row>
    <row r="75" spans="1:20" hidden="1">
      <c r="A75" s="131"/>
      <c r="B75" s="132"/>
      <c r="C75" s="132"/>
      <c r="D75" s="132"/>
      <c r="E75" s="133"/>
      <c r="F75" s="134"/>
      <c r="G75" s="132"/>
      <c r="H75" s="135"/>
      <c r="I75" s="136"/>
      <c r="K75"/>
      <c r="N75" s="137"/>
      <c r="O75" s="137"/>
      <c r="P75" s="137"/>
      <c r="Q75" s="137"/>
      <c r="R75" s="137"/>
      <c r="S75" s="137"/>
      <c r="T75" s="137"/>
    </row>
    <row r="76" spans="1:20" ht="15.95">
      <c r="A76" s="4" t="s">
        <v>21</v>
      </c>
      <c r="B76" s="30" t="s">
        <v>289</v>
      </c>
      <c r="C76" s="30"/>
      <c r="D76" s="30" t="s">
        <v>238</v>
      </c>
      <c r="E76" s="31">
        <v>30</v>
      </c>
      <c r="F76" s="125">
        <v>46171</v>
      </c>
      <c r="G76" s="30" t="s">
        <v>252</v>
      </c>
      <c r="H76" s="33">
        <v>0.6</v>
      </c>
      <c r="I76" s="93">
        <f>E76*H76</f>
        <v>18</v>
      </c>
      <c r="K76"/>
      <c r="N76" s="110"/>
      <c r="O76" s="110"/>
      <c r="P76" s="110"/>
      <c r="Q76" s="110"/>
      <c r="R76" s="110"/>
      <c r="S76" s="110"/>
      <c r="T76" s="110"/>
    </row>
    <row r="77" spans="1:20" hidden="1">
      <c r="A77" s="131"/>
      <c r="B77" s="132"/>
      <c r="C77" s="132"/>
      <c r="D77" s="132"/>
      <c r="E77" s="133"/>
      <c r="F77" s="134"/>
      <c r="G77" s="132"/>
      <c r="H77" s="135"/>
      <c r="I77" s="136"/>
      <c r="K77"/>
      <c r="N77" s="137"/>
      <c r="O77" s="137"/>
      <c r="P77" s="137"/>
      <c r="Q77" s="137"/>
      <c r="R77" s="137"/>
      <c r="S77" s="137"/>
      <c r="T77" s="137"/>
    </row>
    <row r="78" spans="1:20" ht="15.95" hidden="1">
      <c r="A78" s="4" t="s">
        <v>21</v>
      </c>
      <c r="B78" s="30" t="s">
        <v>384</v>
      </c>
      <c r="C78" s="30"/>
      <c r="D78" s="30" t="s">
        <v>238</v>
      </c>
      <c r="E78" s="31">
        <v>26</v>
      </c>
      <c r="F78" s="125">
        <v>46171</v>
      </c>
      <c r="G78" s="30" t="s">
        <v>360</v>
      </c>
      <c r="H78" s="33">
        <v>0.25</v>
      </c>
      <c r="I78" s="93"/>
      <c r="K78"/>
      <c r="N78" s="110"/>
      <c r="O78" s="110"/>
      <c r="P78" s="110"/>
      <c r="Q78" s="110"/>
      <c r="R78" s="110"/>
      <c r="S78" s="110"/>
      <c r="T78" s="110"/>
    </row>
    <row r="79" spans="1:20" hidden="1">
      <c r="A79" s="131"/>
      <c r="B79" s="132"/>
      <c r="C79" s="132"/>
      <c r="D79" s="132"/>
      <c r="E79" s="133"/>
      <c r="F79" s="134"/>
      <c r="G79" s="132"/>
      <c r="H79" s="135"/>
      <c r="I79" s="136"/>
      <c r="K79"/>
      <c r="N79" s="137"/>
      <c r="O79" s="137"/>
      <c r="P79" s="137"/>
      <c r="Q79" s="137"/>
      <c r="R79" s="137"/>
      <c r="S79" s="137"/>
      <c r="T79" s="137"/>
    </row>
    <row r="80" spans="1:20" ht="15.95" hidden="1">
      <c r="A80" s="4" t="s">
        <v>21</v>
      </c>
      <c r="B80" s="30" t="s">
        <v>385</v>
      </c>
      <c r="C80" s="30"/>
      <c r="D80" s="30" t="s">
        <v>238</v>
      </c>
      <c r="E80" s="31">
        <v>35</v>
      </c>
      <c r="F80" s="125">
        <v>46171</v>
      </c>
      <c r="G80" s="30" t="s">
        <v>360</v>
      </c>
      <c r="H80" s="33">
        <v>0.15</v>
      </c>
      <c r="I80" s="93"/>
      <c r="K80"/>
      <c r="N80" s="110"/>
      <c r="O80" s="110"/>
      <c r="P80" s="110"/>
      <c r="Q80" s="110"/>
      <c r="R80" s="110"/>
      <c r="S80" s="110"/>
      <c r="T80" s="110"/>
    </row>
    <row r="81" spans="1:20" hidden="1">
      <c r="A81" s="131"/>
      <c r="B81" s="132"/>
      <c r="C81" s="132"/>
      <c r="D81" s="132"/>
      <c r="E81" s="133"/>
      <c r="F81" s="134"/>
      <c r="G81" s="132"/>
      <c r="H81" s="135"/>
      <c r="I81" s="136"/>
      <c r="K81"/>
      <c r="N81" s="137"/>
      <c r="O81" s="137"/>
      <c r="P81" s="137"/>
      <c r="Q81" s="137"/>
      <c r="R81" s="137"/>
      <c r="S81" s="137"/>
      <c r="T81" s="137"/>
    </row>
    <row r="82" spans="1:20" ht="15.95" hidden="1">
      <c r="A82" s="4" t="s">
        <v>21</v>
      </c>
      <c r="B82" s="30" t="s">
        <v>386</v>
      </c>
      <c r="C82" s="30"/>
      <c r="D82" s="30" t="s">
        <v>238</v>
      </c>
      <c r="E82" s="31">
        <v>50</v>
      </c>
      <c r="F82" s="125">
        <v>46171</v>
      </c>
      <c r="G82" s="30" t="s">
        <v>360</v>
      </c>
      <c r="H82" s="33">
        <v>0.25</v>
      </c>
      <c r="I82" s="93"/>
      <c r="K82"/>
      <c r="N82" s="110"/>
      <c r="O82" s="110"/>
      <c r="P82" s="110"/>
      <c r="Q82" s="110"/>
      <c r="R82" s="110"/>
      <c r="S82" s="110"/>
      <c r="T82" s="110"/>
    </row>
    <row r="83" spans="1:20" hidden="1">
      <c r="A83" s="131"/>
      <c r="B83" s="132"/>
      <c r="C83" s="132"/>
      <c r="D83" s="132"/>
      <c r="E83" s="133"/>
      <c r="F83" s="134"/>
      <c r="G83" s="132"/>
      <c r="H83" s="135"/>
      <c r="I83" s="136"/>
      <c r="K83"/>
      <c r="N83" s="137"/>
      <c r="O83" s="137"/>
      <c r="P83" s="137"/>
      <c r="Q83" s="137"/>
      <c r="R83" s="137"/>
      <c r="S83" s="137"/>
      <c r="T83" s="137"/>
    </row>
    <row r="84" spans="1:20" ht="15.95" hidden="1">
      <c r="A84" s="4" t="s">
        <v>21</v>
      </c>
      <c r="B84" s="30" t="s">
        <v>387</v>
      </c>
      <c r="C84" s="30"/>
      <c r="D84" s="30" t="s">
        <v>238</v>
      </c>
      <c r="E84" s="31">
        <v>50</v>
      </c>
      <c r="F84" s="125">
        <v>46171</v>
      </c>
      <c r="G84" s="30" t="s">
        <v>360</v>
      </c>
      <c r="H84" s="33">
        <v>0.25</v>
      </c>
      <c r="I84" s="93"/>
      <c r="K84"/>
      <c r="N84" s="110"/>
      <c r="O84" s="110"/>
      <c r="P84" s="110"/>
      <c r="Q84" s="110"/>
      <c r="R84" s="110"/>
      <c r="S84" s="110"/>
      <c r="T84" s="110"/>
    </row>
    <row r="85" spans="1:20" hidden="1">
      <c r="A85" s="131"/>
      <c r="B85" s="132"/>
      <c r="C85" s="132"/>
      <c r="D85" s="132"/>
      <c r="E85" s="133"/>
      <c r="F85" s="134"/>
      <c r="G85" s="132"/>
      <c r="H85" s="135"/>
      <c r="I85" s="136"/>
      <c r="K85"/>
      <c r="N85" s="137"/>
      <c r="O85" s="137"/>
      <c r="P85" s="137"/>
      <c r="Q85" s="137"/>
      <c r="R85" s="137"/>
      <c r="S85" s="137"/>
      <c r="T85" s="137"/>
    </row>
    <row r="86" spans="1:20" ht="15.95" hidden="1">
      <c r="A86" s="4" t="s">
        <v>21</v>
      </c>
      <c r="B86" s="30" t="s">
        <v>388</v>
      </c>
      <c r="C86" s="30"/>
      <c r="D86" s="30" t="s">
        <v>238</v>
      </c>
      <c r="E86" s="31">
        <v>50</v>
      </c>
      <c r="F86" s="125">
        <v>46171</v>
      </c>
      <c r="G86" s="30" t="s">
        <v>360</v>
      </c>
      <c r="H86" s="33">
        <v>0.25</v>
      </c>
      <c r="I86" s="93"/>
      <c r="K86"/>
      <c r="N86" s="110"/>
      <c r="O86" s="110"/>
      <c r="P86" s="110"/>
      <c r="Q86" s="110"/>
      <c r="R86" s="110"/>
      <c r="S86" s="110"/>
      <c r="T86" s="110"/>
    </row>
    <row r="87" spans="1:20" hidden="1">
      <c r="A87" s="131"/>
      <c r="B87" s="132"/>
      <c r="C87" s="132"/>
      <c r="D87" s="132"/>
      <c r="E87" s="133"/>
      <c r="F87" s="134"/>
      <c r="G87" s="132"/>
      <c r="H87" s="135"/>
      <c r="I87" s="136"/>
      <c r="K87"/>
      <c r="N87" s="137"/>
      <c r="O87" s="137"/>
      <c r="P87" s="137"/>
      <c r="Q87" s="137"/>
      <c r="R87" s="137"/>
      <c r="S87" s="137"/>
      <c r="T87" s="137"/>
    </row>
    <row r="88" spans="1:20" ht="15.95">
      <c r="A88" s="4" t="s">
        <v>21</v>
      </c>
      <c r="B88" s="30" t="s">
        <v>389</v>
      </c>
      <c r="C88" s="30"/>
      <c r="D88" s="30" t="s">
        <v>238</v>
      </c>
      <c r="E88" s="31">
        <v>10</v>
      </c>
      <c r="F88" s="125">
        <v>46171</v>
      </c>
      <c r="G88" s="30" t="s">
        <v>261</v>
      </c>
      <c r="H88" s="33">
        <v>0</v>
      </c>
      <c r="I88" s="93">
        <f>E88*H88</f>
        <v>0</v>
      </c>
      <c r="K88"/>
      <c r="N88" s="110"/>
      <c r="O88" s="110"/>
      <c r="P88" s="110"/>
      <c r="Q88" s="110"/>
      <c r="R88" s="110"/>
      <c r="S88" s="110"/>
      <c r="T88" s="110"/>
    </row>
    <row r="89" spans="1:20" hidden="1">
      <c r="A89" s="131"/>
      <c r="B89" s="132"/>
      <c r="C89" s="132"/>
      <c r="D89" s="132"/>
      <c r="E89" s="133"/>
      <c r="F89" s="134"/>
      <c r="G89" s="132"/>
      <c r="H89" s="135"/>
      <c r="I89" s="136"/>
      <c r="K89"/>
      <c r="N89" s="137"/>
      <c r="O89" s="137"/>
      <c r="P89" s="137"/>
      <c r="Q89" s="137"/>
      <c r="R89" s="137"/>
      <c r="S89" s="137"/>
      <c r="T89" s="137"/>
    </row>
    <row r="90" spans="1:20" ht="15.95">
      <c r="A90" s="4" t="s">
        <v>21</v>
      </c>
      <c r="B90" s="30" t="s">
        <v>390</v>
      </c>
      <c r="C90" s="30"/>
      <c r="D90" s="30" t="s">
        <v>238</v>
      </c>
      <c r="E90" s="31">
        <v>40</v>
      </c>
      <c r="F90" s="125">
        <v>46171</v>
      </c>
      <c r="G90" s="30" t="s">
        <v>261</v>
      </c>
      <c r="H90" s="33">
        <v>0</v>
      </c>
      <c r="I90" s="93">
        <f>E90*H90</f>
        <v>0</v>
      </c>
      <c r="K90"/>
      <c r="N90" s="110"/>
      <c r="O90" s="110"/>
      <c r="P90" s="110"/>
      <c r="Q90" s="110"/>
      <c r="R90" s="110"/>
      <c r="S90" s="110"/>
      <c r="T90" s="110"/>
    </row>
    <row r="91" spans="1:20" hidden="1">
      <c r="A91" s="131"/>
      <c r="B91" s="132"/>
      <c r="C91" s="132"/>
      <c r="D91" s="132"/>
      <c r="E91" s="133"/>
      <c r="F91" s="134"/>
      <c r="G91" s="132"/>
      <c r="H91" s="135"/>
      <c r="I91" s="136"/>
      <c r="K91"/>
      <c r="N91" s="137"/>
      <c r="O91" s="137"/>
      <c r="P91" s="137"/>
      <c r="Q91" s="137"/>
      <c r="R91" s="137"/>
      <c r="S91" s="137"/>
      <c r="T91" s="137"/>
    </row>
    <row r="92" spans="1:20" ht="15.95" hidden="1">
      <c r="A92" s="4" t="s">
        <v>21</v>
      </c>
      <c r="B92" s="4" t="s">
        <v>391</v>
      </c>
      <c r="C92" s="30" t="s">
        <v>392</v>
      </c>
      <c r="D92" s="30" t="s">
        <v>238</v>
      </c>
      <c r="E92" s="31">
        <v>40</v>
      </c>
      <c r="F92" s="125">
        <v>46171</v>
      </c>
      <c r="G92" s="30" t="s">
        <v>360</v>
      </c>
      <c r="H92" s="33">
        <v>0.25</v>
      </c>
      <c r="I92" s="93"/>
      <c r="K92"/>
      <c r="N92" s="110"/>
      <c r="O92" s="110"/>
      <c r="P92" s="110"/>
      <c r="Q92" s="110"/>
      <c r="R92" s="110"/>
      <c r="S92" s="110"/>
      <c r="T92" s="110"/>
    </row>
    <row r="93" spans="1:20" hidden="1">
      <c r="A93" s="131"/>
      <c r="B93" s="131"/>
      <c r="C93" s="132"/>
      <c r="D93" s="132"/>
      <c r="E93" s="133"/>
      <c r="F93" s="134"/>
      <c r="G93" s="132"/>
      <c r="H93" s="135"/>
      <c r="I93" s="136"/>
      <c r="K93"/>
      <c r="N93" s="137"/>
      <c r="O93" s="137"/>
      <c r="P93" s="137"/>
      <c r="Q93" s="137"/>
      <c r="R93" s="137"/>
      <c r="S93" s="137"/>
      <c r="T93" s="137"/>
    </row>
    <row r="94" spans="1:20" ht="15.95">
      <c r="A94" s="4" t="s">
        <v>2</v>
      </c>
      <c r="B94" s="30" t="s">
        <v>264</v>
      </c>
      <c r="C94" s="30" t="s">
        <v>265</v>
      </c>
      <c r="D94" s="30" t="s">
        <v>247</v>
      </c>
      <c r="E94" s="31">
        <v>86</v>
      </c>
      <c r="F94" s="125">
        <v>46172</v>
      </c>
      <c r="G94" s="30" t="s">
        <v>239</v>
      </c>
      <c r="H94" s="33">
        <v>0.7</v>
      </c>
      <c r="I94" s="93">
        <f>E94*H94</f>
        <v>60.199999999999996</v>
      </c>
      <c r="K94"/>
      <c r="N94" s="110"/>
      <c r="O94" s="110"/>
      <c r="P94" s="110"/>
      <c r="Q94" s="110"/>
      <c r="R94" s="110"/>
      <c r="S94" s="110"/>
      <c r="T94" s="110"/>
    </row>
    <row r="95" spans="1:20" hidden="1">
      <c r="A95" s="131"/>
      <c r="B95" s="132"/>
      <c r="C95" s="132"/>
      <c r="D95" s="132"/>
      <c r="E95" s="133"/>
      <c r="F95" s="134"/>
      <c r="G95" s="132"/>
      <c r="H95" s="135"/>
      <c r="I95" s="136"/>
      <c r="K95"/>
      <c r="N95" s="137"/>
      <c r="O95" s="137"/>
      <c r="P95" s="137"/>
      <c r="Q95" s="137"/>
      <c r="R95" s="137"/>
      <c r="S95" s="137"/>
      <c r="T95" s="137"/>
    </row>
    <row r="96" spans="1:20" ht="15.95">
      <c r="A96" s="4" t="s">
        <v>21</v>
      </c>
      <c r="B96" s="30" t="s">
        <v>393</v>
      </c>
      <c r="C96" s="30"/>
      <c r="D96" s="30" t="s">
        <v>238</v>
      </c>
      <c r="E96" s="31">
        <v>41</v>
      </c>
      <c r="F96" s="125">
        <v>46199</v>
      </c>
      <c r="G96" s="30" t="s">
        <v>261</v>
      </c>
      <c r="H96" s="33">
        <v>0.15</v>
      </c>
      <c r="I96" s="93">
        <f>E96*H96</f>
        <v>6.1499999999999995</v>
      </c>
      <c r="K96"/>
      <c r="N96" s="110"/>
      <c r="O96" s="110"/>
      <c r="P96" s="110"/>
      <c r="Q96" s="110"/>
      <c r="R96" s="110"/>
      <c r="S96" s="110"/>
      <c r="T96" s="110"/>
    </row>
    <row r="97" spans="1:20" hidden="1">
      <c r="A97" s="131"/>
      <c r="B97" s="132"/>
      <c r="C97" s="132"/>
      <c r="D97" s="132"/>
      <c r="E97" s="133"/>
      <c r="F97" s="134"/>
      <c r="G97" s="132"/>
      <c r="H97" s="135"/>
      <c r="I97" s="136"/>
      <c r="K97"/>
      <c r="N97" s="137"/>
      <c r="O97" s="137"/>
      <c r="P97" s="137"/>
      <c r="Q97" s="137"/>
      <c r="R97" s="137"/>
      <c r="S97" s="137"/>
      <c r="T97" s="137"/>
    </row>
    <row r="98" spans="1:20" ht="15.95">
      <c r="A98" s="4" t="s">
        <v>2</v>
      </c>
      <c r="B98" s="30" t="s">
        <v>394</v>
      </c>
      <c r="C98" s="30" t="s">
        <v>366</v>
      </c>
      <c r="D98" s="30" t="s">
        <v>282</v>
      </c>
      <c r="E98" s="31">
        <v>100</v>
      </c>
      <c r="F98" s="125">
        <v>46203</v>
      </c>
      <c r="G98" s="30" t="s">
        <v>261</v>
      </c>
      <c r="H98" s="33">
        <v>0.5</v>
      </c>
      <c r="I98" s="93">
        <f>E98*H98</f>
        <v>50</v>
      </c>
      <c r="K98"/>
      <c r="N98" s="110"/>
      <c r="O98" s="110"/>
      <c r="P98" s="110"/>
      <c r="Q98" s="110"/>
      <c r="R98" s="110"/>
      <c r="S98" s="110"/>
      <c r="T98" s="110"/>
    </row>
    <row r="99" spans="1:20" hidden="1">
      <c r="A99" s="131"/>
      <c r="B99" s="132"/>
      <c r="C99" s="132"/>
      <c r="D99" s="132"/>
      <c r="E99" s="133"/>
      <c r="F99" s="134"/>
      <c r="G99" s="132"/>
      <c r="H99" s="135"/>
      <c r="I99" s="136"/>
      <c r="K99"/>
      <c r="N99" s="137"/>
      <c r="O99" s="137"/>
      <c r="P99" s="137"/>
      <c r="Q99" s="137"/>
      <c r="R99" s="137"/>
      <c r="S99" s="137"/>
      <c r="T99" s="137"/>
    </row>
    <row r="100" spans="1:20" ht="15.95">
      <c r="A100" s="4" t="s">
        <v>2</v>
      </c>
      <c r="B100" s="30" t="s">
        <v>395</v>
      </c>
      <c r="C100" s="30" t="s">
        <v>396</v>
      </c>
      <c r="D100" s="30" t="s">
        <v>282</v>
      </c>
      <c r="E100" s="31">
        <v>100</v>
      </c>
      <c r="F100" s="125">
        <v>46203</v>
      </c>
      <c r="G100" s="30" t="s">
        <v>261</v>
      </c>
      <c r="H100" s="33">
        <v>0.5</v>
      </c>
      <c r="I100" s="93">
        <f>E100*H100</f>
        <v>50</v>
      </c>
      <c r="K100"/>
      <c r="N100" s="110"/>
      <c r="O100" s="110"/>
      <c r="P100" s="110"/>
      <c r="Q100" s="110"/>
      <c r="R100" s="110"/>
      <c r="S100" s="110"/>
      <c r="T100" s="110"/>
    </row>
    <row r="101" spans="1:20" hidden="1">
      <c r="A101" s="131"/>
      <c r="B101" s="132"/>
      <c r="C101" s="132"/>
      <c r="D101" s="132"/>
      <c r="E101" s="133"/>
      <c r="F101" s="134"/>
      <c r="G101" s="132"/>
      <c r="H101" s="135"/>
      <c r="I101" s="136"/>
      <c r="K101"/>
      <c r="N101" s="137"/>
      <c r="O101" s="137"/>
      <c r="P101" s="137"/>
      <c r="Q101" s="137"/>
      <c r="R101" s="137"/>
      <c r="S101" s="137"/>
      <c r="T101" s="137"/>
    </row>
    <row r="102" spans="1:20" ht="15.95">
      <c r="A102" s="4" t="s">
        <v>2</v>
      </c>
      <c r="B102" s="30" t="s">
        <v>262</v>
      </c>
      <c r="C102" s="30" t="s">
        <v>263</v>
      </c>
      <c r="D102" s="30" t="s">
        <v>247</v>
      </c>
      <c r="E102" s="31">
        <v>180</v>
      </c>
      <c r="F102" s="125">
        <v>46203</v>
      </c>
      <c r="G102" s="30" t="s">
        <v>239</v>
      </c>
      <c r="H102" s="33">
        <v>0.7</v>
      </c>
      <c r="I102" s="93">
        <f>E102*H102</f>
        <v>125.99999999999999</v>
      </c>
      <c r="K102"/>
      <c r="N102" s="110"/>
      <c r="O102" s="110"/>
      <c r="P102" s="110"/>
      <c r="Q102" s="110"/>
      <c r="R102" s="110"/>
      <c r="S102" s="110"/>
      <c r="T102" s="110"/>
    </row>
    <row r="103" spans="1:20" hidden="1">
      <c r="A103" s="131"/>
      <c r="B103" s="132"/>
      <c r="C103" s="132"/>
      <c r="D103" s="132"/>
      <c r="E103" s="133"/>
      <c r="F103" s="134"/>
      <c r="G103" s="132"/>
      <c r="H103" s="135"/>
      <c r="I103" s="136"/>
      <c r="K103"/>
      <c r="N103" s="137"/>
      <c r="O103" s="137"/>
      <c r="P103" s="137"/>
      <c r="Q103" s="137"/>
      <c r="R103" s="137"/>
      <c r="S103" s="137"/>
      <c r="T103" s="137"/>
    </row>
    <row r="104" spans="1:20" ht="15.95">
      <c r="A104" s="4" t="s">
        <v>2</v>
      </c>
      <c r="B104" s="30" t="s">
        <v>397</v>
      </c>
      <c r="C104" s="30" t="s">
        <v>398</v>
      </c>
      <c r="D104" s="30" t="s">
        <v>238</v>
      </c>
      <c r="E104" s="31">
        <v>120</v>
      </c>
      <c r="F104" s="125">
        <v>46203</v>
      </c>
      <c r="G104" s="30" t="s">
        <v>261</v>
      </c>
      <c r="H104" s="33">
        <v>0.25</v>
      </c>
      <c r="I104" s="93">
        <f>E104*H104</f>
        <v>30</v>
      </c>
      <c r="K104"/>
      <c r="N104" s="110"/>
      <c r="O104" s="110"/>
      <c r="P104" s="110"/>
      <c r="Q104" s="110"/>
      <c r="R104" s="110"/>
      <c r="S104" s="110"/>
      <c r="T104" s="110"/>
    </row>
    <row r="105" spans="1:20" hidden="1">
      <c r="A105" s="131"/>
      <c r="B105" s="132"/>
      <c r="C105" s="132"/>
      <c r="D105" s="132"/>
      <c r="E105" s="133"/>
      <c r="F105" s="134"/>
      <c r="G105" s="132"/>
      <c r="H105" s="135"/>
      <c r="I105" s="136"/>
      <c r="K105"/>
      <c r="N105" s="137"/>
      <c r="O105" s="137"/>
      <c r="P105" s="137"/>
      <c r="Q105" s="137"/>
      <c r="R105" s="137"/>
      <c r="S105" s="137"/>
      <c r="T105" s="137"/>
    </row>
    <row r="106" spans="1:20" ht="15.95">
      <c r="A106" s="4" t="s">
        <v>2</v>
      </c>
      <c r="B106" s="30" t="s">
        <v>399</v>
      </c>
      <c r="C106" s="30" t="s">
        <v>400</v>
      </c>
      <c r="D106" s="30" t="s">
        <v>282</v>
      </c>
      <c r="E106" s="31">
        <v>5.5</v>
      </c>
      <c r="F106" s="125">
        <v>46203</v>
      </c>
      <c r="G106" s="30" t="s">
        <v>243</v>
      </c>
      <c r="H106" s="33">
        <v>0.25</v>
      </c>
      <c r="I106" s="93">
        <f>E106*H106</f>
        <v>1.375</v>
      </c>
      <c r="K106"/>
      <c r="N106" s="110"/>
      <c r="O106" s="110"/>
      <c r="P106" s="110"/>
      <c r="Q106" s="110"/>
      <c r="R106" s="110"/>
      <c r="S106" s="110"/>
      <c r="T106" s="110"/>
    </row>
    <row r="107" spans="1:20" hidden="1">
      <c r="A107" s="131"/>
      <c r="B107" s="132"/>
      <c r="C107" s="132"/>
      <c r="D107" s="132"/>
      <c r="E107" s="133"/>
      <c r="F107" s="134"/>
      <c r="G107" s="132"/>
      <c r="H107" s="135"/>
      <c r="I107" s="136"/>
      <c r="K107"/>
      <c r="N107" s="137"/>
      <c r="O107" s="137"/>
      <c r="P107" s="137"/>
      <c r="Q107" s="137"/>
      <c r="R107" s="137"/>
      <c r="S107" s="137"/>
      <c r="T107" s="137"/>
    </row>
    <row r="108" spans="1:20" ht="15.95" hidden="1">
      <c r="A108" s="4" t="s">
        <v>2</v>
      </c>
      <c r="B108" s="30" t="s">
        <v>401</v>
      </c>
      <c r="C108" s="30" t="s">
        <v>402</v>
      </c>
      <c r="D108" s="30" t="s">
        <v>242</v>
      </c>
      <c r="E108" s="31">
        <v>4</v>
      </c>
      <c r="F108" s="125">
        <v>46203</v>
      </c>
      <c r="G108" s="30" t="s">
        <v>360</v>
      </c>
      <c r="H108" s="33">
        <v>0.3</v>
      </c>
      <c r="I108" s="93"/>
      <c r="K108"/>
      <c r="N108" s="110"/>
      <c r="O108" s="110"/>
      <c r="P108" s="110"/>
      <c r="Q108" s="110"/>
      <c r="R108" s="110"/>
      <c r="S108" s="110"/>
      <c r="T108" s="110"/>
    </row>
    <row r="109" spans="1:20" hidden="1">
      <c r="A109" s="131"/>
      <c r="B109" s="132"/>
      <c r="C109" s="132"/>
      <c r="D109" s="132"/>
      <c r="E109" s="133"/>
      <c r="F109" s="134"/>
      <c r="G109" s="132"/>
      <c r="H109" s="135"/>
      <c r="I109" s="136"/>
      <c r="K109"/>
      <c r="N109" s="137"/>
      <c r="O109" s="137"/>
      <c r="P109" s="137"/>
      <c r="Q109" s="137"/>
      <c r="R109" s="137"/>
      <c r="S109" s="137"/>
      <c r="T109" s="137"/>
    </row>
    <row r="110" spans="1:20" ht="15.95">
      <c r="A110" s="4" t="s">
        <v>2</v>
      </c>
      <c r="B110" s="30" t="s">
        <v>403</v>
      </c>
      <c r="C110" s="30"/>
      <c r="D110" s="30" t="s">
        <v>238</v>
      </c>
      <c r="E110" s="31">
        <v>7</v>
      </c>
      <c r="F110" s="125">
        <v>46203</v>
      </c>
      <c r="G110" s="30" t="s">
        <v>261</v>
      </c>
      <c r="H110" s="33">
        <v>0.5</v>
      </c>
      <c r="I110" s="93">
        <f>E110*H110</f>
        <v>3.5</v>
      </c>
      <c r="K110"/>
      <c r="N110" s="110"/>
      <c r="O110" s="110"/>
      <c r="P110" s="110"/>
      <c r="Q110" s="110"/>
      <c r="R110" s="110"/>
      <c r="S110" s="110"/>
      <c r="T110" s="110"/>
    </row>
    <row r="111" spans="1:20" hidden="1">
      <c r="A111" s="131"/>
      <c r="B111" s="132"/>
      <c r="C111" s="132"/>
      <c r="D111" s="132"/>
      <c r="E111" s="133"/>
      <c r="F111" s="134"/>
      <c r="G111" s="132"/>
      <c r="H111" s="135"/>
      <c r="I111" s="136"/>
      <c r="K111"/>
      <c r="N111" s="137"/>
      <c r="O111" s="137"/>
      <c r="P111" s="137"/>
      <c r="Q111" s="137"/>
      <c r="R111" s="137"/>
      <c r="S111" s="137"/>
      <c r="T111" s="137"/>
    </row>
    <row r="112" spans="1:20" ht="15.95">
      <c r="A112" s="4" t="s">
        <v>2</v>
      </c>
      <c r="B112" s="30" t="s">
        <v>404</v>
      </c>
      <c r="C112" s="30" t="s">
        <v>405</v>
      </c>
      <c r="D112" s="30" t="s">
        <v>282</v>
      </c>
      <c r="E112" s="31">
        <v>1</v>
      </c>
      <c r="F112" s="125">
        <v>46203</v>
      </c>
      <c r="G112" s="30" t="s">
        <v>243</v>
      </c>
      <c r="H112" s="33">
        <v>0</v>
      </c>
      <c r="I112" s="93">
        <f>E112*H112</f>
        <v>0</v>
      </c>
      <c r="K112"/>
      <c r="N112" s="110"/>
      <c r="O112" s="110"/>
      <c r="P112" s="110"/>
      <c r="Q112" s="110"/>
      <c r="R112" s="110"/>
      <c r="S112" s="110"/>
      <c r="T112" s="110"/>
    </row>
    <row r="113" spans="1:20" hidden="1">
      <c r="A113" s="131"/>
      <c r="B113" s="132"/>
      <c r="C113" s="132"/>
      <c r="D113" s="132"/>
      <c r="E113" s="133"/>
      <c r="F113" s="134"/>
      <c r="G113" s="132"/>
      <c r="H113" s="135"/>
      <c r="I113" s="136"/>
      <c r="K113"/>
      <c r="N113" s="137"/>
      <c r="O113" s="137"/>
      <c r="P113" s="137"/>
      <c r="Q113" s="137"/>
      <c r="R113" s="137"/>
      <c r="S113" s="137"/>
      <c r="T113" s="137"/>
    </row>
    <row r="114" spans="1:20" ht="15.95" hidden="1">
      <c r="A114" s="4" t="s">
        <v>2</v>
      </c>
      <c r="B114" s="30" t="s">
        <v>406</v>
      </c>
      <c r="C114" s="30" t="s">
        <v>405</v>
      </c>
      <c r="D114" s="30" t="s">
        <v>282</v>
      </c>
      <c r="E114" s="31">
        <v>7</v>
      </c>
      <c r="F114" s="125">
        <v>46203</v>
      </c>
      <c r="G114" s="30" t="s">
        <v>360</v>
      </c>
      <c r="H114" s="33">
        <v>0.6</v>
      </c>
      <c r="I114" s="93"/>
      <c r="K114"/>
      <c r="N114" s="110"/>
      <c r="O114" s="110"/>
      <c r="P114" s="110"/>
      <c r="Q114" s="110"/>
      <c r="R114" s="110"/>
      <c r="S114" s="110"/>
      <c r="T114" s="110"/>
    </row>
    <row r="115" spans="1:20" hidden="1">
      <c r="A115" s="131"/>
      <c r="B115" s="132"/>
      <c r="C115" s="132"/>
      <c r="D115" s="132"/>
      <c r="E115" s="133"/>
      <c r="F115" s="134"/>
      <c r="G115" s="132"/>
      <c r="H115" s="135"/>
      <c r="I115" s="136"/>
      <c r="K115"/>
      <c r="N115" s="137"/>
      <c r="O115" s="137"/>
      <c r="P115" s="137"/>
      <c r="Q115" s="137"/>
      <c r="R115" s="137"/>
      <c r="S115" s="137"/>
      <c r="T115" s="137"/>
    </row>
    <row r="116" spans="1:20" ht="15.95" hidden="1">
      <c r="A116" s="4" t="s">
        <v>147</v>
      </c>
      <c r="B116" s="30" t="s">
        <v>407</v>
      </c>
      <c r="C116" s="30" t="s">
        <v>408</v>
      </c>
      <c r="D116" s="30" t="s">
        <v>242</v>
      </c>
      <c r="E116" s="31">
        <v>150</v>
      </c>
      <c r="F116" s="125">
        <v>46203</v>
      </c>
      <c r="G116" s="30" t="s">
        <v>360</v>
      </c>
      <c r="H116" s="33">
        <v>1</v>
      </c>
      <c r="I116" s="93"/>
      <c r="J116" t="s">
        <v>368</v>
      </c>
      <c r="K116"/>
      <c r="N116" s="110"/>
      <c r="O116" s="110"/>
      <c r="P116" s="110"/>
      <c r="Q116" s="110"/>
      <c r="R116" s="110"/>
      <c r="S116" s="110"/>
      <c r="T116" s="110"/>
    </row>
    <row r="117" spans="1:20" hidden="1">
      <c r="A117" s="131"/>
      <c r="B117" s="132"/>
      <c r="C117" s="132"/>
      <c r="D117" s="132"/>
      <c r="E117" s="133"/>
      <c r="F117" s="134"/>
      <c r="G117" s="132"/>
      <c r="H117" s="135"/>
      <c r="I117" s="136"/>
      <c r="K117"/>
      <c r="N117" s="137"/>
      <c r="O117" s="137"/>
      <c r="P117" s="137"/>
      <c r="Q117" s="137"/>
      <c r="R117" s="137"/>
      <c r="S117" s="137"/>
      <c r="T117" s="137"/>
    </row>
    <row r="118" spans="1:20" ht="15.95">
      <c r="A118" s="4" t="s">
        <v>147</v>
      </c>
      <c r="B118" s="30" t="s">
        <v>245</v>
      </c>
      <c r="C118" s="30" t="s">
        <v>373</v>
      </c>
      <c r="D118" s="30" t="s">
        <v>247</v>
      </c>
      <c r="E118" s="31">
        <v>10</v>
      </c>
      <c r="F118" s="125">
        <v>46203</v>
      </c>
      <c r="G118" s="30" t="s">
        <v>239</v>
      </c>
      <c r="H118" s="33">
        <v>0.7</v>
      </c>
      <c r="I118" s="93">
        <f>E118*H118</f>
        <v>7</v>
      </c>
      <c r="K118"/>
      <c r="N118" s="110"/>
      <c r="O118" s="110"/>
      <c r="P118" s="110"/>
      <c r="Q118" s="110"/>
      <c r="R118" s="110"/>
      <c r="S118" s="110"/>
      <c r="T118" s="110"/>
    </row>
    <row r="119" spans="1:20" hidden="1">
      <c r="A119" s="131"/>
      <c r="B119" s="132"/>
      <c r="C119" s="132"/>
      <c r="D119" s="132"/>
      <c r="E119" s="133"/>
      <c r="F119" s="134"/>
      <c r="G119" s="132"/>
      <c r="H119" s="135"/>
      <c r="I119" s="136"/>
      <c r="K119"/>
      <c r="N119" s="137"/>
      <c r="O119" s="137"/>
      <c r="P119" s="137"/>
      <c r="Q119" s="137"/>
      <c r="R119" s="137"/>
      <c r="S119" s="137"/>
      <c r="T119" s="137"/>
    </row>
    <row r="120" spans="1:20" ht="15.95">
      <c r="A120" s="4" t="s">
        <v>147</v>
      </c>
      <c r="B120" s="30" t="s">
        <v>409</v>
      </c>
      <c r="C120" s="30" t="s">
        <v>410</v>
      </c>
      <c r="D120" s="30" t="s">
        <v>242</v>
      </c>
      <c r="E120" s="31">
        <v>39</v>
      </c>
      <c r="F120" s="125">
        <v>46203</v>
      </c>
      <c r="G120" s="30" t="s">
        <v>252</v>
      </c>
      <c r="H120" s="33">
        <v>0.5</v>
      </c>
      <c r="I120" s="93">
        <f>E120*H120</f>
        <v>19.5</v>
      </c>
      <c r="J120" t="s">
        <v>368</v>
      </c>
      <c r="K120"/>
      <c r="N120" s="110"/>
      <c r="O120" s="110"/>
      <c r="P120" s="110"/>
      <c r="Q120" s="110"/>
      <c r="R120" s="110"/>
      <c r="S120" s="110"/>
      <c r="T120" s="110"/>
    </row>
    <row r="121" spans="1:20" hidden="1">
      <c r="A121" s="131"/>
      <c r="B121" s="132"/>
      <c r="C121" s="132"/>
      <c r="D121" s="132"/>
      <c r="E121" s="133"/>
      <c r="F121" s="134"/>
      <c r="G121" s="132"/>
      <c r="H121" s="135"/>
      <c r="I121" s="136"/>
      <c r="K121"/>
      <c r="N121" s="137"/>
      <c r="O121" s="137"/>
      <c r="P121" s="137"/>
      <c r="Q121" s="137"/>
      <c r="R121" s="137"/>
      <c r="S121" s="137"/>
      <c r="T121" s="137"/>
    </row>
    <row r="122" spans="1:20" ht="15.95" hidden="1">
      <c r="A122" s="4" t="s">
        <v>147</v>
      </c>
      <c r="B122" s="30" t="s">
        <v>411</v>
      </c>
      <c r="C122" s="30"/>
      <c r="D122" s="30" t="s">
        <v>247</v>
      </c>
      <c r="E122" s="31">
        <v>150</v>
      </c>
      <c r="F122" s="125">
        <v>46203</v>
      </c>
      <c r="G122" s="30" t="s">
        <v>360</v>
      </c>
      <c r="H122" s="33">
        <v>0.3</v>
      </c>
      <c r="I122" s="93"/>
      <c r="K122"/>
      <c r="N122" s="110"/>
      <c r="O122" s="110"/>
      <c r="P122" s="110"/>
      <c r="Q122" s="110"/>
      <c r="R122" s="110"/>
      <c r="S122" s="110"/>
      <c r="T122" s="110"/>
    </row>
    <row r="123" spans="1:20" hidden="1">
      <c r="A123" s="131"/>
      <c r="B123" s="132"/>
      <c r="C123" s="132"/>
      <c r="D123" s="132"/>
      <c r="E123" s="133"/>
      <c r="F123" s="134"/>
      <c r="G123" s="132"/>
      <c r="H123" s="135"/>
      <c r="I123" s="136"/>
      <c r="K123"/>
      <c r="N123" s="137"/>
      <c r="O123" s="137"/>
      <c r="P123" s="137"/>
      <c r="Q123" s="137"/>
      <c r="R123" s="137"/>
      <c r="S123" s="137"/>
      <c r="T123" s="137"/>
    </row>
    <row r="124" spans="1:20" ht="15.95">
      <c r="A124" s="4" t="s">
        <v>147</v>
      </c>
      <c r="B124" s="30" t="s">
        <v>412</v>
      </c>
      <c r="C124" s="30" t="s">
        <v>145</v>
      </c>
      <c r="D124" s="30" t="s">
        <v>247</v>
      </c>
      <c r="E124" s="31">
        <v>17</v>
      </c>
      <c r="F124" s="125">
        <v>46203</v>
      </c>
      <c r="G124" s="30" t="s">
        <v>261</v>
      </c>
      <c r="H124" s="33">
        <v>0.3</v>
      </c>
      <c r="I124" s="93">
        <f>E124*H124</f>
        <v>5.0999999999999996</v>
      </c>
      <c r="K124"/>
      <c r="N124" s="110"/>
      <c r="O124" s="110"/>
      <c r="P124" s="110"/>
      <c r="Q124" s="110"/>
      <c r="R124" s="110"/>
      <c r="S124" s="110"/>
      <c r="T124" s="110"/>
    </row>
    <row r="125" spans="1:20" hidden="1">
      <c r="A125" s="131"/>
      <c r="B125" s="132"/>
      <c r="C125" s="132"/>
      <c r="D125" s="132"/>
      <c r="E125" s="133"/>
      <c r="F125" s="134"/>
      <c r="G125" s="132"/>
      <c r="H125" s="135"/>
      <c r="I125" s="136"/>
      <c r="K125"/>
      <c r="N125" s="137"/>
      <c r="O125" s="137"/>
      <c r="P125" s="137"/>
      <c r="Q125" s="137"/>
      <c r="R125" s="137"/>
      <c r="S125" s="137"/>
      <c r="T125" s="137"/>
    </row>
    <row r="126" spans="1:20" ht="15.95">
      <c r="A126" s="4" t="s">
        <v>21</v>
      </c>
      <c r="B126" s="30" t="s">
        <v>413</v>
      </c>
      <c r="C126" s="30"/>
      <c r="D126" s="30" t="s">
        <v>238</v>
      </c>
      <c r="E126" s="31">
        <v>30</v>
      </c>
      <c r="F126" s="125">
        <v>46203</v>
      </c>
      <c r="G126" s="30" t="s">
        <v>261</v>
      </c>
      <c r="H126" s="33">
        <v>0.1</v>
      </c>
      <c r="I126" s="93">
        <f>E126*H126</f>
        <v>3</v>
      </c>
      <c r="K126"/>
      <c r="N126" s="110"/>
      <c r="O126" s="110"/>
      <c r="P126" s="110"/>
      <c r="Q126" s="110"/>
      <c r="R126" s="110"/>
      <c r="S126" s="110"/>
      <c r="T126" s="110"/>
    </row>
    <row r="127" spans="1:20" hidden="1">
      <c r="A127" s="131"/>
      <c r="B127" s="132"/>
      <c r="C127" s="132"/>
      <c r="D127" s="132"/>
      <c r="E127" s="133"/>
      <c r="F127" s="134"/>
      <c r="G127" s="132"/>
      <c r="H127" s="135"/>
      <c r="I127" s="136"/>
      <c r="K127"/>
      <c r="N127" s="137"/>
      <c r="O127" s="137"/>
      <c r="P127" s="137"/>
      <c r="Q127" s="137"/>
      <c r="R127" s="137"/>
      <c r="S127" s="137"/>
      <c r="T127" s="137"/>
    </row>
    <row r="128" spans="1:20" ht="15.95" hidden="1">
      <c r="A128" s="4" t="s">
        <v>21</v>
      </c>
      <c r="B128" s="30" t="s">
        <v>414</v>
      </c>
      <c r="C128" s="30"/>
      <c r="D128" s="30" t="s">
        <v>238</v>
      </c>
      <c r="E128" s="31">
        <v>60</v>
      </c>
      <c r="F128" s="125">
        <v>46203</v>
      </c>
      <c r="G128" s="30" t="s">
        <v>360</v>
      </c>
      <c r="H128" s="33">
        <v>0</v>
      </c>
      <c r="I128" s="93"/>
      <c r="K128"/>
      <c r="N128" s="110"/>
      <c r="O128" s="110"/>
      <c r="P128" s="110"/>
      <c r="Q128" s="110"/>
      <c r="R128" s="110"/>
      <c r="S128" s="110"/>
      <c r="T128" s="110"/>
    </row>
    <row r="129" spans="1:21" hidden="1">
      <c r="A129" s="131"/>
      <c r="B129" s="132"/>
      <c r="C129" s="132"/>
      <c r="D129" s="132"/>
      <c r="E129" s="133"/>
      <c r="F129" s="134"/>
      <c r="G129" s="132"/>
      <c r="H129" s="135"/>
      <c r="I129" s="136"/>
      <c r="K129"/>
      <c r="N129" s="137"/>
      <c r="O129" s="137"/>
      <c r="P129" s="137"/>
      <c r="Q129" s="137"/>
      <c r="R129" s="137"/>
      <c r="S129" s="137"/>
      <c r="T129" s="137"/>
    </row>
    <row r="130" spans="1:21" ht="15.95">
      <c r="A130" s="4" t="s">
        <v>21</v>
      </c>
      <c r="B130" s="30" t="s">
        <v>290</v>
      </c>
      <c r="C130" s="30" t="s">
        <v>297</v>
      </c>
      <c r="D130" s="30" t="s">
        <v>238</v>
      </c>
      <c r="E130" s="31">
        <v>100</v>
      </c>
      <c r="F130" s="125">
        <v>46203</v>
      </c>
      <c r="G130" s="30" t="s">
        <v>261</v>
      </c>
      <c r="H130" s="33">
        <v>0.3</v>
      </c>
      <c r="I130" s="93">
        <f>E130*H130</f>
        <v>30</v>
      </c>
      <c r="K130"/>
      <c r="N130" s="110"/>
      <c r="O130" s="110"/>
      <c r="P130" s="110"/>
      <c r="Q130" s="110"/>
      <c r="R130" s="110"/>
      <c r="S130" s="110"/>
      <c r="T130" s="110"/>
    </row>
    <row r="131" spans="1:21">
      <c r="A131" s="131"/>
      <c r="B131" s="132"/>
      <c r="C131" s="132"/>
      <c r="D131" s="132"/>
      <c r="E131" s="133"/>
      <c r="F131" s="134"/>
      <c r="G131" s="132"/>
      <c r="H131" s="135"/>
      <c r="I131" s="136"/>
    </row>
    <row r="133" spans="1:21">
      <c r="G133" s="249" t="s">
        <v>275</v>
      </c>
      <c r="H133" s="92" t="s">
        <v>6</v>
      </c>
      <c r="I133" s="93">
        <f>SUM(I2:I36)</f>
        <v>436.99999999999994</v>
      </c>
    </row>
    <row r="134" spans="1:21">
      <c r="G134" s="250"/>
      <c r="H134" s="92" t="s">
        <v>7</v>
      </c>
      <c r="I134" s="93">
        <f>SUM(I38:I95)</f>
        <v>388.75</v>
      </c>
    </row>
    <row r="135" spans="1:21">
      <c r="G135" s="250"/>
      <c r="H135" s="92" t="s">
        <v>8</v>
      </c>
      <c r="I135" s="93">
        <f>SUM(I96:I130)</f>
        <v>331.625</v>
      </c>
    </row>
    <row r="136" spans="1:21">
      <c r="G136" s="251"/>
      <c r="H136" s="94" t="s">
        <v>15</v>
      </c>
      <c r="I136" s="77">
        <f>SUM(I133:I135)</f>
        <v>1157.375</v>
      </c>
    </row>
    <row r="140" spans="1:21">
      <c r="A140" s="110" t="s">
        <v>2</v>
      </c>
      <c r="B140" s="110" t="s">
        <v>327</v>
      </c>
      <c r="C140" s="110" t="s">
        <v>332</v>
      </c>
      <c r="D140" s="110" t="s">
        <v>282</v>
      </c>
      <c r="E140" s="110">
        <v>50</v>
      </c>
      <c r="F140" s="112" t="s">
        <v>7</v>
      </c>
      <c r="G140" s="110" t="s">
        <v>331</v>
      </c>
      <c r="H140" s="111">
        <v>0.5</v>
      </c>
      <c r="I140" s="110">
        <f>E140*H140</f>
        <v>25</v>
      </c>
      <c r="J140" s="46"/>
      <c r="N140" s="93"/>
      <c r="O140" s="93"/>
      <c r="P140" s="93">
        <f>I140*20%</f>
        <v>5</v>
      </c>
      <c r="Q140" s="93">
        <f>I140*25%</f>
        <v>6.25</v>
      </c>
      <c r="R140" s="93"/>
      <c r="S140" s="93"/>
      <c r="T140" s="93">
        <f>I140*50%</f>
        <v>12.5</v>
      </c>
      <c r="U140" s="93">
        <f>I140*5%</f>
        <v>1.25</v>
      </c>
    </row>
    <row r="141" spans="1:21">
      <c r="A141" s="131"/>
      <c r="B141" s="132"/>
      <c r="C141" s="132"/>
      <c r="D141" s="132"/>
      <c r="E141" s="133"/>
      <c r="F141" s="134"/>
      <c r="G141" s="132"/>
      <c r="H141" s="135"/>
      <c r="I141" s="136"/>
      <c r="N141" s="139"/>
      <c r="O141" s="139"/>
      <c r="P141" s="139"/>
      <c r="Q141" s="139">
        <f>0.9*H140</f>
        <v>0.45</v>
      </c>
      <c r="R141" s="139"/>
      <c r="S141" s="139"/>
      <c r="T141" s="139">
        <f>H140*15</f>
        <v>7.5</v>
      </c>
      <c r="U141">
        <f>H140*13</f>
        <v>6.5</v>
      </c>
    </row>
    <row r="142" spans="1:21">
      <c r="A142" s="110" t="s">
        <v>333</v>
      </c>
      <c r="B142" s="110"/>
      <c r="C142" s="110" t="s">
        <v>334</v>
      </c>
      <c r="D142" s="110" t="s">
        <v>335</v>
      </c>
      <c r="E142" s="110">
        <v>254</v>
      </c>
      <c r="F142" s="112" t="s">
        <v>6</v>
      </c>
      <c r="G142" s="110" t="s">
        <v>331</v>
      </c>
      <c r="H142" s="111">
        <v>0</v>
      </c>
      <c r="I142" s="110">
        <f>E142*H142</f>
        <v>0</v>
      </c>
      <c r="J142" s="46"/>
      <c r="N142" s="93"/>
      <c r="O142" s="93">
        <f>I142*30%</f>
        <v>0</v>
      </c>
      <c r="P142" s="93">
        <f>(I142-O142)/3</f>
        <v>0</v>
      </c>
      <c r="Q142" s="93">
        <f>P142</f>
        <v>0</v>
      </c>
      <c r="R142" s="93">
        <f>Q142</f>
        <v>0</v>
      </c>
      <c r="S142" s="93"/>
      <c r="T142" s="93"/>
      <c r="U142" s="93"/>
    </row>
    <row r="143" spans="1:21">
      <c r="A143" s="131"/>
      <c r="B143" s="132"/>
      <c r="C143" s="132"/>
      <c r="D143" s="132"/>
      <c r="E143" s="133"/>
      <c r="F143" s="134"/>
      <c r="G143" s="132"/>
      <c r="H143" s="135"/>
      <c r="I143" s="136"/>
      <c r="N143" s="139"/>
      <c r="O143" s="139">
        <f>H142*57</f>
        <v>0</v>
      </c>
      <c r="P143" s="139">
        <f>H142*46</f>
        <v>0</v>
      </c>
      <c r="Q143" s="139">
        <f>P143</f>
        <v>0</v>
      </c>
      <c r="R143" s="139">
        <f>Q143</f>
        <v>0</v>
      </c>
      <c r="S143" s="139"/>
      <c r="T143" s="139">
        <f>H142*15</f>
        <v>0</v>
      </c>
      <c r="U143">
        <f>H142*13</f>
        <v>0</v>
      </c>
    </row>
    <row r="144" spans="1:21" ht="15.95">
      <c r="A144" s="4" t="s">
        <v>2</v>
      </c>
      <c r="B144" s="30" t="s">
        <v>415</v>
      </c>
      <c r="C144" s="30" t="s">
        <v>416</v>
      </c>
      <c r="D144" s="30" t="s">
        <v>417</v>
      </c>
      <c r="E144" s="31">
        <v>55</v>
      </c>
      <c r="F144" s="125">
        <v>46171</v>
      </c>
      <c r="G144" s="30" t="s">
        <v>360</v>
      </c>
      <c r="H144" s="33">
        <v>0.1</v>
      </c>
      <c r="I144" s="93">
        <f>E144*H144</f>
        <v>5.5</v>
      </c>
      <c r="N144" s="127">
        <f>I144*20%</f>
        <v>1.1000000000000001</v>
      </c>
      <c r="O144" s="127">
        <f>I144*10%</f>
        <v>0.55000000000000004</v>
      </c>
      <c r="P144" s="127">
        <f>I144*20%</f>
        <v>1.1000000000000001</v>
      </c>
      <c r="Q144" s="127">
        <f>I144*25%</f>
        <v>1.375</v>
      </c>
      <c r="R144" s="127">
        <f>I144*20%</f>
        <v>1.1000000000000001</v>
      </c>
      <c r="S144" s="140">
        <f>I144*5%</f>
        <v>0.27500000000000002</v>
      </c>
      <c r="T144" s="110"/>
    </row>
    <row r="145" spans="1:21">
      <c r="A145" s="131"/>
      <c r="B145" s="132"/>
      <c r="C145" s="132"/>
      <c r="D145" s="132"/>
      <c r="E145" s="133"/>
      <c r="F145" s="134"/>
      <c r="G145" s="132"/>
      <c r="H145" s="135"/>
      <c r="I145" s="136"/>
      <c r="N145" s="139"/>
      <c r="O145" s="139">
        <f>0.1*H144</f>
        <v>1.0000000000000002E-2</v>
      </c>
      <c r="P145" s="139"/>
      <c r="Q145" s="139">
        <f>2.3*H144</f>
        <v>0.22999999999999998</v>
      </c>
      <c r="R145" s="139">
        <f>H144*10</f>
        <v>1</v>
      </c>
      <c r="S145" s="139">
        <f>H144*6.2</f>
        <v>0.62000000000000011</v>
      </c>
      <c r="T145" s="139"/>
    </row>
    <row r="146" spans="1:21" ht="15.95">
      <c r="A146" s="4" t="s">
        <v>2</v>
      </c>
      <c r="B146" s="30" t="s">
        <v>418</v>
      </c>
      <c r="C146" s="30" t="s">
        <v>200</v>
      </c>
      <c r="D146" s="30" t="s">
        <v>417</v>
      </c>
      <c r="E146" s="31">
        <v>237</v>
      </c>
      <c r="F146" s="125">
        <v>46203</v>
      </c>
      <c r="G146" s="30" t="s">
        <v>261</v>
      </c>
      <c r="H146" s="33">
        <v>0.5</v>
      </c>
      <c r="I146" s="93">
        <f>E146*H146</f>
        <v>118.5</v>
      </c>
      <c r="N146" s="127"/>
      <c r="O146" s="127"/>
      <c r="P146" s="127">
        <f>I146*10%</f>
        <v>11.850000000000001</v>
      </c>
      <c r="Q146" s="127">
        <f>I146*15%</f>
        <v>17.774999999999999</v>
      </c>
      <c r="R146" s="127">
        <f>I146*20%</f>
        <v>23.700000000000003</v>
      </c>
      <c r="S146" s="127"/>
      <c r="T146" s="127">
        <f>I146*20%</f>
        <v>23.700000000000003</v>
      </c>
    </row>
    <row r="147" spans="1:21">
      <c r="A147" s="131"/>
      <c r="B147" s="132"/>
      <c r="C147" s="132"/>
      <c r="D147" s="132"/>
      <c r="E147" s="133"/>
      <c r="F147" s="134"/>
      <c r="G147" s="132"/>
      <c r="H147" s="135"/>
      <c r="I147" s="136"/>
      <c r="N147" s="139"/>
      <c r="O147" s="139">
        <f>1.4*H146</f>
        <v>0.7</v>
      </c>
      <c r="P147" s="139">
        <f>H146*2.6</f>
        <v>1.3</v>
      </c>
      <c r="Q147" s="139"/>
      <c r="R147" s="139">
        <f>21.5*H146</f>
        <v>10.75</v>
      </c>
      <c r="S147" s="139">
        <f>3.8*H146</f>
        <v>1.9</v>
      </c>
      <c r="T147" s="139">
        <f>H146*43.5</f>
        <v>21.75</v>
      </c>
    </row>
    <row r="148" spans="1:21" ht="15.95">
      <c r="A148" s="4" t="s">
        <v>309</v>
      </c>
      <c r="B148" s="30" t="s">
        <v>419</v>
      </c>
      <c r="C148" s="30" t="s">
        <v>334</v>
      </c>
      <c r="D148" s="30" t="s">
        <v>417</v>
      </c>
      <c r="E148" s="31">
        <v>94</v>
      </c>
      <c r="F148" s="125">
        <v>46264</v>
      </c>
      <c r="G148" s="110" t="s">
        <v>331</v>
      </c>
      <c r="H148" s="33">
        <v>0.3</v>
      </c>
      <c r="I148" s="93">
        <f>E148*H148</f>
        <v>28.2</v>
      </c>
      <c r="N148" s="127"/>
      <c r="O148" s="127"/>
      <c r="P148" s="127"/>
      <c r="Q148" s="127"/>
      <c r="R148" s="127">
        <f>E148*H148*70%*35%</f>
        <v>6.9089999999999989</v>
      </c>
      <c r="S148" s="127">
        <f>65%*20%*E148*H148</f>
        <v>3.6659999999999999</v>
      </c>
      <c r="T148" s="127">
        <f>E148*H148*65%*25%</f>
        <v>4.5825000000000005</v>
      </c>
    </row>
    <row r="149" spans="1:21">
      <c r="A149" s="131"/>
      <c r="B149" s="132"/>
      <c r="C149" s="132"/>
      <c r="D149" s="132"/>
      <c r="E149" s="133"/>
      <c r="F149" s="134"/>
      <c r="G149" s="132"/>
      <c r="H149" s="135"/>
      <c r="I149" s="136"/>
      <c r="N149" s="139"/>
      <c r="O149" s="139"/>
      <c r="P149" s="139"/>
      <c r="Q149" s="139"/>
      <c r="R149" s="139">
        <f>H148*0.3</f>
        <v>0.09</v>
      </c>
      <c r="S149" s="139">
        <f>R149</f>
        <v>0.09</v>
      </c>
      <c r="T149" s="139">
        <f>S149</f>
        <v>0.09</v>
      </c>
    </row>
    <row r="150" spans="1:21">
      <c r="N150" s="127">
        <f>SUM(N3+N5+N7+N9+N11+N13+N15+N17+N19+N21+N23+N25+N27+N29+N31+N33+N35+N37+N39+N41+N43+N45+N47+N49+N51+N53+N55+N57+N59+N61+N63+N65+N67+N69+N71+N73+N75+N77+N79+N81+N83+N85+N87+N89+N91+N93+N95+N97+N99+N101+N103+N105+N107+N109+N111+N113+N115+N117+N119+N121+N123+N125+N127+N129+N131+N141+N143+N145+N147)</f>
        <v>0</v>
      </c>
      <c r="O150" s="127">
        <f t="shared" ref="O150:T150" si="1">SUM(O3+O5+O7+O9+O11+O13+O15+O17+O19+O21+O23+O25+O27+O29+O31+O33+O35+O37+O39+O41+O43+O45+O47+O49+O51+O53+O55+O57+O59+O61+O63+O65+O67+O69+O71+O73+O75+O77+O79+O81+O83+O85+O87+O89+O91+O93+O95+O97+O99+O101+O103+O105+O107+O109+O111+O113+O115+O117+O119+O121+O123+O125+O127+O129+O131+O141+O143+O145+O147)</f>
        <v>5.2599999999999989</v>
      </c>
      <c r="P150" s="127">
        <f t="shared" si="1"/>
        <v>11.41</v>
      </c>
      <c r="Q150" s="127">
        <f t="shared" si="1"/>
        <v>17.46</v>
      </c>
      <c r="R150" s="127">
        <f t="shared" si="1"/>
        <v>15.7</v>
      </c>
      <c r="S150" s="127">
        <f t="shared" si="1"/>
        <v>3.36</v>
      </c>
      <c r="T150" s="127">
        <f t="shared" si="1"/>
        <v>62.059999999999995</v>
      </c>
    </row>
    <row r="152" spans="1:21">
      <c r="N152" s="127">
        <f>N149*1000000</f>
        <v>0</v>
      </c>
      <c r="O152" s="127">
        <f t="shared" ref="O152:T153" si="2">O149*1000000</f>
        <v>0</v>
      </c>
      <c r="P152" s="127">
        <f t="shared" si="2"/>
        <v>0</v>
      </c>
      <c r="Q152" s="127">
        <f t="shared" si="2"/>
        <v>0</v>
      </c>
      <c r="R152" s="127">
        <f t="shared" si="2"/>
        <v>90000</v>
      </c>
      <c r="S152" s="127">
        <f t="shared" si="2"/>
        <v>90000</v>
      </c>
      <c r="T152" s="127">
        <f t="shared" si="2"/>
        <v>90000</v>
      </c>
      <c r="U152" s="51">
        <f>SUM(N152:T152)</f>
        <v>270000</v>
      </c>
    </row>
    <row r="153" spans="1:21">
      <c r="N153" s="139">
        <f>N150*1000000</f>
        <v>0</v>
      </c>
      <c r="O153" s="139">
        <f t="shared" si="2"/>
        <v>5259999.9999999991</v>
      </c>
      <c r="P153" s="139">
        <f t="shared" si="2"/>
        <v>11410000</v>
      </c>
      <c r="Q153" s="139">
        <f t="shared" si="2"/>
        <v>17460000</v>
      </c>
      <c r="R153" s="139">
        <f t="shared" si="2"/>
        <v>15700000</v>
      </c>
      <c r="S153" s="139">
        <f t="shared" si="2"/>
        <v>3360000</v>
      </c>
      <c r="T153" s="139">
        <f t="shared" si="2"/>
        <v>62059999.999999993</v>
      </c>
      <c r="U153" s="51">
        <f>SUM(N153:T153)</f>
        <v>115250000</v>
      </c>
    </row>
  </sheetData>
  <autoFilter ref="A1:I130" xr:uid="{0B37831E-B1BF-9245-999B-768E6EA5BE7C}">
    <filterColumn colId="6">
      <filters>
        <filter val="Cierre"/>
        <filter val="Cierre 60% (CT Cubierto)"/>
        <filter val="Cierre 70% (Preferencia)"/>
        <filter val="Cierre 90% (Adjudicación Verbal)"/>
      </filters>
    </filterColumn>
    <sortState xmlns:xlrd2="http://schemas.microsoft.com/office/spreadsheetml/2017/richdata2" ref="A2:I130">
      <sortCondition ref="F2:F130"/>
    </sortState>
  </autoFilter>
  <sortState xmlns:xlrd2="http://schemas.microsoft.com/office/spreadsheetml/2017/richdata2" ref="A2:I130">
    <sortCondition ref="F2:F130"/>
  </sortState>
  <mergeCells count="1">
    <mergeCell ref="G133:G136"/>
  </mergeCells>
  <conditionalFormatting sqref="K10">
    <cfRule type="cellIs" dxfId="15" priority="4" operator="equal">
      <formula>"OC"</formula>
    </cfRule>
  </conditionalFormatting>
  <conditionalFormatting sqref="K12">
    <cfRule type="cellIs" dxfId="14" priority="1" operator="equal">
      <formula>"OC"</formula>
    </cfRule>
  </conditionalFormatting>
  <conditionalFormatting sqref="K30">
    <cfRule type="cellIs" dxfId="13" priority="2" operator="equal">
      <formula>"OC"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0BC1-F119-6645-A5E6-E8453C55E48C}">
  <sheetPr filterMode="1"/>
  <dimension ref="A1:W119"/>
  <sheetViews>
    <sheetView showGridLines="0" zoomScale="110" zoomScaleNormal="110" workbookViewId="0">
      <pane xSplit="2" ySplit="1" topLeftCell="F2" activePane="bottomRight" state="frozen"/>
      <selection pane="bottomRight" activeCell="K2" sqref="K2"/>
      <selection pane="bottomLeft" activeCell="A2" sqref="A2"/>
      <selection pane="topRight" activeCell="C1" sqref="C1"/>
    </sheetView>
  </sheetViews>
  <sheetFormatPr defaultColWidth="11.42578125" defaultRowHeight="15"/>
  <cols>
    <col min="2" max="2" width="47.42578125" customWidth="1"/>
    <col min="3" max="3" width="45.42578125" customWidth="1"/>
    <col min="4" max="4" width="21.85546875" customWidth="1"/>
    <col min="5" max="5" width="15" style="34" bestFit="1" customWidth="1"/>
    <col min="6" max="6" width="13.42578125" bestFit="1" customWidth="1"/>
    <col min="7" max="7" width="29.140625" customWidth="1"/>
    <col min="8" max="8" width="11.42578125" style="35"/>
    <col min="9" max="9" width="15.140625" style="34" customWidth="1"/>
    <col min="11" max="11" width="17.28515625" style="46" bestFit="1" customWidth="1"/>
    <col min="14" max="16" width="15.85546875" hidden="1" customWidth="1"/>
    <col min="17" max="17" width="14.7109375" hidden="1" customWidth="1"/>
    <col min="18" max="18" width="14.42578125" hidden="1" customWidth="1"/>
    <col min="19" max="19" width="15.85546875" hidden="1" customWidth="1"/>
    <col min="20" max="20" width="14.7109375" hidden="1" customWidth="1"/>
    <col min="21" max="21" width="14.42578125" hidden="1" customWidth="1"/>
    <col min="22" max="22" width="0" hidden="1" customWidth="1"/>
    <col min="23" max="23" width="14.140625" hidden="1" customWidth="1"/>
  </cols>
  <sheetData>
    <row r="1" spans="1:20">
      <c r="A1" s="27" t="s">
        <v>34</v>
      </c>
      <c r="B1" s="27" t="s">
        <v>228</v>
      </c>
      <c r="C1" s="27" t="s">
        <v>26</v>
      </c>
      <c r="D1" s="27" t="s">
        <v>229</v>
      </c>
      <c r="E1" s="28" t="s">
        <v>230</v>
      </c>
      <c r="F1" s="27" t="s">
        <v>231</v>
      </c>
      <c r="G1" s="27" t="s">
        <v>232</v>
      </c>
      <c r="H1" s="29" t="s">
        <v>233</v>
      </c>
      <c r="I1" s="28" t="s">
        <v>234</v>
      </c>
      <c r="K1" s="114" t="s">
        <v>420</v>
      </c>
      <c r="M1">
        <v>0</v>
      </c>
      <c r="N1" s="138" t="s">
        <v>9</v>
      </c>
      <c r="O1" s="138" t="s">
        <v>10</v>
      </c>
      <c r="P1" s="138" t="s">
        <v>11</v>
      </c>
      <c r="Q1" s="138" t="s">
        <v>12</v>
      </c>
      <c r="R1" s="138" t="s">
        <v>13</v>
      </c>
      <c r="S1" s="138" t="s">
        <v>14</v>
      </c>
      <c r="T1" s="165">
        <v>46388</v>
      </c>
    </row>
    <row r="2" spans="1:20" ht="15.95">
      <c r="A2" s="4" t="s">
        <v>2</v>
      </c>
      <c r="B2" s="30" t="s">
        <v>421</v>
      </c>
      <c r="C2" s="30" t="s">
        <v>343</v>
      </c>
      <c r="D2" s="30" t="s">
        <v>247</v>
      </c>
      <c r="E2" s="59">
        <v>120</v>
      </c>
      <c r="F2" s="125">
        <v>46150</v>
      </c>
      <c r="G2" s="30" t="s">
        <v>243</v>
      </c>
      <c r="H2" s="60">
        <v>0.9</v>
      </c>
      <c r="I2" s="141">
        <f>E2*H2</f>
        <v>108</v>
      </c>
      <c r="K2" s="89" t="s">
        <v>244</v>
      </c>
      <c r="N2" s="4"/>
      <c r="O2" s="4"/>
      <c r="P2" s="4"/>
      <c r="Q2" s="4"/>
      <c r="R2" s="4"/>
      <c r="S2" s="4"/>
      <c r="T2" s="4"/>
    </row>
    <row r="3" spans="1:20" hidden="1">
      <c r="A3" s="131"/>
      <c r="B3" s="132"/>
      <c r="C3" s="132"/>
      <c r="D3" s="132"/>
      <c r="E3" s="133"/>
      <c r="F3" s="134"/>
      <c r="G3" s="132"/>
      <c r="H3" s="135"/>
      <c r="I3" s="164" t="s">
        <v>422</v>
      </c>
      <c r="K3"/>
      <c r="N3" s="131"/>
      <c r="O3" s="131"/>
      <c r="P3" s="131"/>
      <c r="Q3" s="131"/>
      <c r="R3" s="131"/>
      <c r="S3" s="131"/>
      <c r="T3" s="131"/>
    </row>
    <row r="4" spans="1:20" ht="15.95">
      <c r="A4" s="4" t="s">
        <v>2</v>
      </c>
      <c r="B4" s="30" t="s">
        <v>415</v>
      </c>
      <c r="C4" s="30" t="s">
        <v>423</v>
      </c>
      <c r="D4" s="30" t="s">
        <v>242</v>
      </c>
      <c r="E4" s="59">
        <v>55</v>
      </c>
      <c r="F4" s="125">
        <v>46157</v>
      </c>
      <c r="G4" s="30" t="s">
        <v>261</v>
      </c>
      <c r="H4" s="60">
        <v>0.1</v>
      </c>
      <c r="I4" s="141">
        <f>E4*H4</f>
        <v>5.5</v>
      </c>
      <c r="K4" s="89" t="s">
        <v>424</v>
      </c>
      <c r="N4" s="127">
        <f>I4*20%</f>
        <v>1.1000000000000001</v>
      </c>
      <c r="O4" s="127">
        <f>I4*10%</f>
        <v>0.55000000000000004</v>
      </c>
      <c r="P4" s="127">
        <f>I4*20%</f>
        <v>1.1000000000000001</v>
      </c>
      <c r="Q4" s="127">
        <f>I4*25%</f>
        <v>1.375</v>
      </c>
      <c r="R4" s="127">
        <f>I4*20%</f>
        <v>1.1000000000000001</v>
      </c>
      <c r="S4" s="140">
        <f>I4*5%</f>
        <v>0.27500000000000002</v>
      </c>
      <c r="T4" s="110"/>
    </row>
    <row r="5" spans="1:20" hidden="1">
      <c r="A5" s="131"/>
      <c r="B5" s="132"/>
      <c r="C5" s="132"/>
      <c r="D5" s="132"/>
      <c r="E5" s="133"/>
      <c r="F5" s="134"/>
      <c r="G5" s="132"/>
      <c r="H5" s="135"/>
      <c r="I5" s="136"/>
      <c r="K5"/>
      <c r="N5" s="139"/>
      <c r="O5" s="139">
        <f>0.1*H4</f>
        <v>1.0000000000000002E-2</v>
      </c>
      <c r="P5" s="139"/>
      <c r="Q5" s="139">
        <f>2.3*H4</f>
        <v>0.22999999999999998</v>
      </c>
      <c r="R5" s="139">
        <f>H4*10</f>
        <v>1</v>
      </c>
      <c r="S5" s="139">
        <f>H4*6.2</f>
        <v>0.62000000000000011</v>
      </c>
      <c r="T5" s="139"/>
    </row>
    <row r="6" spans="1:20" ht="15.95">
      <c r="A6" s="4" t="s">
        <v>2</v>
      </c>
      <c r="B6" s="30" t="s">
        <v>303</v>
      </c>
      <c r="C6" s="30" t="s">
        <v>304</v>
      </c>
      <c r="D6" s="30" t="s">
        <v>247</v>
      </c>
      <c r="E6" s="59">
        <v>70</v>
      </c>
      <c r="F6" s="125">
        <v>46157</v>
      </c>
      <c r="G6" s="30" t="s">
        <v>243</v>
      </c>
      <c r="H6" s="60">
        <v>0.9</v>
      </c>
      <c r="I6" s="141">
        <f>E6*H6</f>
        <v>63</v>
      </c>
      <c r="K6" s="89" t="s">
        <v>244</v>
      </c>
      <c r="N6" s="123">
        <f>18%*H6*I6*20%</f>
        <v>2.0411999999999999</v>
      </c>
      <c r="O6" s="123">
        <f>18%*H6*I6*10%+27%*H6*I6</f>
        <v>16.329599999999999</v>
      </c>
      <c r="P6" s="123">
        <f>18%*H6*I6*50%+55%*H6*I6</f>
        <v>36.288000000000004</v>
      </c>
      <c r="Q6" s="123">
        <f>18%*H6*I6*20%</f>
        <v>2.0411999999999999</v>
      </c>
      <c r="R6" s="4"/>
      <c r="S6" s="4"/>
      <c r="T6" s="4"/>
    </row>
    <row r="7" spans="1:20" hidden="1">
      <c r="A7" s="131"/>
      <c r="B7" s="132"/>
      <c r="C7" s="132"/>
      <c r="D7" s="132"/>
      <c r="E7" s="133"/>
      <c r="F7" s="134"/>
      <c r="G7" s="132"/>
      <c r="H7" s="135"/>
      <c r="I7" s="136" t="s">
        <v>422</v>
      </c>
      <c r="K7"/>
      <c r="N7" s="131"/>
      <c r="O7" s="131"/>
      <c r="P7" s="131">
        <f>18*H6</f>
        <v>16.2</v>
      </c>
      <c r="Q7" s="131">
        <f>0.5*H6</f>
        <v>0.45</v>
      </c>
      <c r="R7" s="131">
        <f>33.6*H6</f>
        <v>30.240000000000002</v>
      </c>
      <c r="S7" s="131"/>
      <c r="T7" s="131"/>
    </row>
    <row r="8" spans="1:20" ht="15.95">
      <c r="A8" s="4" t="s">
        <v>2</v>
      </c>
      <c r="B8" s="30" t="s">
        <v>354</v>
      </c>
      <c r="C8" s="30" t="s">
        <v>343</v>
      </c>
      <c r="D8" s="30" t="s">
        <v>247</v>
      </c>
      <c r="E8" s="59">
        <v>100</v>
      </c>
      <c r="F8" s="125">
        <v>46164</v>
      </c>
      <c r="G8" s="30" t="s">
        <v>239</v>
      </c>
      <c r="H8" s="60">
        <v>0.5</v>
      </c>
      <c r="I8" s="141">
        <f>E8*H8</f>
        <v>50</v>
      </c>
      <c r="K8" s="89" t="s">
        <v>280</v>
      </c>
      <c r="N8" s="127">
        <f>I8*20%</f>
        <v>10</v>
      </c>
      <c r="O8" s="110"/>
      <c r="P8" s="127">
        <f>I8*25%</f>
        <v>12.5</v>
      </c>
      <c r="Q8" s="110"/>
      <c r="R8" s="127">
        <f>I8*15%</f>
        <v>7.5</v>
      </c>
      <c r="S8" s="127">
        <f>I8*10%</f>
        <v>5</v>
      </c>
      <c r="T8" s="127">
        <f>I8*15%</f>
        <v>7.5</v>
      </c>
    </row>
    <row r="9" spans="1:20" hidden="1">
      <c r="A9" s="131"/>
      <c r="B9" s="132"/>
      <c r="C9" s="132"/>
      <c r="D9" s="132"/>
      <c r="E9" s="133"/>
      <c r="F9" s="134"/>
      <c r="G9" s="132"/>
      <c r="H9" s="135"/>
      <c r="I9" s="136" t="s">
        <v>422</v>
      </c>
      <c r="K9"/>
      <c r="N9" s="137"/>
      <c r="O9" s="137"/>
      <c r="P9" s="137">
        <f>5*H8</f>
        <v>2.5</v>
      </c>
      <c r="Q9" s="137"/>
      <c r="R9" s="137"/>
      <c r="S9" s="137"/>
      <c r="T9" s="137">
        <f>25*H8</f>
        <v>12.5</v>
      </c>
    </row>
    <row r="10" spans="1:20" ht="15.95" hidden="1">
      <c r="A10" s="4" t="s">
        <v>2</v>
      </c>
      <c r="B10" s="30" t="s">
        <v>359</v>
      </c>
      <c r="C10" s="30" t="s">
        <v>39</v>
      </c>
      <c r="D10" s="30" t="s">
        <v>247</v>
      </c>
      <c r="E10" s="59">
        <v>130</v>
      </c>
      <c r="F10" s="125">
        <v>46170</v>
      </c>
      <c r="G10" s="30" t="s">
        <v>331</v>
      </c>
      <c r="H10" s="60">
        <f>50%*M1</f>
        <v>0</v>
      </c>
      <c r="I10" s="141">
        <f>E10*H10*$M$1</f>
        <v>0</v>
      </c>
      <c r="K10" s="4"/>
      <c r="N10" s="160">
        <f>I10/5</f>
        <v>0</v>
      </c>
      <c r="O10" s="160">
        <f>$N$10</f>
        <v>0</v>
      </c>
      <c r="P10" s="160">
        <f t="shared" ref="P10:R10" si="0">$N$10</f>
        <v>0</v>
      </c>
      <c r="Q10" s="160">
        <f t="shared" si="0"/>
        <v>0</v>
      </c>
      <c r="R10" s="160">
        <f t="shared" si="0"/>
        <v>0</v>
      </c>
      <c r="S10" s="161"/>
      <c r="T10" s="161"/>
    </row>
    <row r="11" spans="1:20" hidden="1">
      <c r="A11" s="131"/>
      <c r="B11" s="132"/>
      <c r="C11" s="132"/>
      <c r="D11" s="132"/>
      <c r="E11" s="133"/>
      <c r="F11" s="134"/>
      <c r="G11" s="132"/>
      <c r="H11" s="135"/>
      <c r="I11" s="136" t="s">
        <v>425</v>
      </c>
      <c r="K11"/>
      <c r="N11" s="163"/>
      <c r="O11" s="163"/>
      <c r="P11" s="163"/>
      <c r="Q11" s="163"/>
      <c r="R11" s="163"/>
      <c r="S11" s="131"/>
      <c r="T11" s="131"/>
    </row>
    <row r="12" spans="1:20" ht="15.95">
      <c r="A12" s="4" t="s">
        <v>147</v>
      </c>
      <c r="B12" s="30" t="s">
        <v>426</v>
      </c>
      <c r="C12" s="30" t="s">
        <v>427</v>
      </c>
      <c r="D12" s="30" t="s">
        <v>238</v>
      </c>
      <c r="E12" s="59">
        <v>2</v>
      </c>
      <c r="F12" s="125">
        <v>46170</v>
      </c>
      <c r="G12" s="30" t="s">
        <v>243</v>
      </c>
      <c r="H12" s="60">
        <v>0.9</v>
      </c>
      <c r="I12" s="141">
        <f>E12*H12</f>
        <v>1.8</v>
      </c>
      <c r="K12" s="89" t="s">
        <v>428</v>
      </c>
    </row>
    <row r="13" spans="1:20" hidden="1">
      <c r="A13" s="131"/>
      <c r="B13" s="132"/>
      <c r="C13" s="132"/>
      <c r="D13" s="132"/>
      <c r="E13" s="133"/>
      <c r="F13" s="134"/>
      <c r="G13" s="132"/>
      <c r="H13" s="135"/>
      <c r="I13" s="136"/>
      <c r="K13"/>
      <c r="N13" s="131"/>
      <c r="O13" s="131"/>
      <c r="P13" s="131"/>
      <c r="Q13" s="131"/>
      <c r="R13" s="131"/>
      <c r="S13" s="131"/>
      <c r="T13" s="131"/>
    </row>
    <row r="14" spans="1:20" ht="15.95">
      <c r="A14" s="4" t="s">
        <v>21</v>
      </c>
      <c r="B14" s="30" t="s">
        <v>429</v>
      </c>
      <c r="C14" s="30" t="s">
        <v>430</v>
      </c>
      <c r="D14" s="30" t="s">
        <v>238</v>
      </c>
      <c r="E14" s="59">
        <v>3</v>
      </c>
      <c r="F14" s="125">
        <v>46170</v>
      </c>
      <c r="G14" s="30" t="s">
        <v>243</v>
      </c>
      <c r="H14" s="60">
        <v>0.9</v>
      </c>
      <c r="I14" s="141">
        <f>E14*H14</f>
        <v>2.7</v>
      </c>
      <c r="K14" s="89" t="s">
        <v>244</v>
      </c>
    </row>
    <row r="15" spans="1:20" hidden="1">
      <c r="A15" s="131"/>
      <c r="B15" s="132"/>
      <c r="C15" s="132"/>
      <c r="D15" s="132"/>
      <c r="E15" s="133"/>
      <c r="F15" s="134"/>
      <c r="G15" s="132"/>
      <c r="H15" s="135"/>
      <c r="I15" s="136"/>
      <c r="K15"/>
      <c r="N15" s="131"/>
      <c r="O15" s="131"/>
      <c r="P15" s="131"/>
      <c r="Q15" s="131"/>
      <c r="R15" s="131"/>
      <c r="S15" s="131"/>
      <c r="T15" s="131"/>
    </row>
    <row r="16" spans="1:20" ht="15.95">
      <c r="A16" s="4" t="s">
        <v>21</v>
      </c>
      <c r="B16" s="30" t="s">
        <v>431</v>
      </c>
      <c r="C16" s="30" t="s">
        <v>427</v>
      </c>
      <c r="D16" s="30" t="s">
        <v>238</v>
      </c>
      <c r="E16" s="59">
        <v>7</v>
      </c>
      <c r="F16" s="125">
        <v>46170</v>
      </c>
      <c r="G16" s="30" t="s">
        <v>243</v>
      </c>
      <c r="H16" s="60">
        <v>0.9</v>
      </c>
      <c r="I16" s="141">
        <f>E16*H16</f>
        <v>6.3</v>
      </c>
      <c r="K16" s="89" t="s">
        <v>428</v>
      </c>
    </row>
    <row r="17" spans="1:20" hidden="1">
      <c r="A17" s="131"/>
      <c r="B17" s="132"/>
      <c r="C17" s="132"/>
      <c r="D17" s="132"/>
      <c r="E17" s="133"/>
      <c r="F17" s="134"/>
      <c r="G17" s="132"/>
      <c r="H17" s="135"/>
      <c r="I17" s="136"/>
      <c r="K17"/>
      <c r="N17" s="148"/>
      <c r="O17" s="148"/>
      <c r="P17" s="148"/>
      <c r="Q17" s="148"/>
      <c r="R17" s="148"/>
      <c r="S17" s="148"/>
      <c r="T17" s="148"/>
    </row>
    <row r="18" spans="1:20" ht="15.95">
      <c r="A18" s="4" t="s">
        <v>2</v>
      </c>
      <c r="B18" s="30" t="s">
        <v>394</v>
      </c>
      <c r="C18" s="30" t="s">
        <v>366</v>
      </c>
      <c r="D18" s="30" t="s">
        <v>282</v>
      </c>
      <c r="E18" s="59">
        <v>130</v>
      </c>
      <c r="F18" s="125">
        <v>46171</v>
      </c>
      <c r="G18" s="30" t="s">
        <v>261</v>
      </c>
      <c r="H18" s="60">
        <v>0.5</v>
      </c>
      <c r="I18" s="141">
        <f>E18*H18</f>
        <v>65</v>
      </c>
      <c r="K18" s="89" t="s">
        <v>317</v>
      </c>
      <c r="N18" s="123">
        <f>I18*10%</f>
        <v>6.5</v>
      </c>
      <c r="O18" s="123">
        <f>I18*10%</f>
        <v>6.5</v>
      </c>
      <c r="P18" s="123">
        <f>I18*15%</f>
        <v>9.75</v>
      </c>
      <c r="Q18" s="4"/>
      <c r="R18" s="123">
        <f>I18*40%</f>
        <v>26</v>
      </c>
      <c r="S18" s="123">
        <f>I18*15%</f>
        <v>9.75</v>
      </c>
      <c r="T18" s="123">
        <f>I18*10%</f>
        <v>6.5</v>
      </c>
    </row>
    <row r="19" spans="1:20" hidden="1">
      <c r="A19" s="131"/>
      <c r="B19" s="132"/>
      <c r="C19" s="132"/>
      <c r="D19" s="132"/>
      <c r="E19" s="133"/>
      <c r="F19" s="134"/>
      <c r="G19" s="132"/>
      <c r="H19" s="135"/>
      <c r="I19" s="136" t="s">
        <v>422</v>
      </c>
      <c r="K19"/>
      <c r="N19" s="131"/>
      <c r="O19" s="131">
        <f>1.6*H18</f>
        <v>0.8</v>
      </c>
      <c r="P19" s="131"/>
      <c r="Q19" s="131"/>
      <c r="R19" s="131">
        <f>19.8*H18</f>
        <v>9.9</v>
      </c>
      <c r="S19" s="131">
        <f>34.6*H18</f>
        <v>17.3</v>
      </c>
      <c r="T19" s="131">
        <f>H18*14.6</f>
        <v>7.3</v>
      </c>
    </row>
    <row r="20" spans="1:20" ht="15.95">
      <c r="A20" s="4" t="s">
        <v>2</v>
      </c>
      <c r="B20" s="30" t="s">
        <v>432</v>
      </c>
      <c r="C20" s="30" t="s">
        <v>364</v>
      </c>
      <c r="D20" s="30" t="s">
        <v>282</v>
      </c>
      <c r="E20" s="59">
        <v>80</v>
      </c>
      <c r="F20" s="125">
        <v>46171</v>
      </c>
      <c r="G20" s="30" t="s">
        <v>239</v>
      </c>
      <c r="H20" s="60">
        <v>0.7</v>
      </c>
      <c r="I20" s="141">
        <f>E20*H20</f>
        <v>56</v>
      </c>
      <c r="K20" s="89" t="s">
        <v>317</v>
      </c>
      <c r="N20" s="110"/>
      <c r="O20" s="127">
        <f>E20*H20*20%</f>
        <v>11.200000000000001</v>
      </c>
      <c r="P20" s="127">
        <f>E20*H20*25%</f>
        <v>14</v>
      </c>
      <c r="Q20" s="110"/>
      <c r="R20" s="110"/>
      <c r="S20" s="127">
        <f>E20*H20*50%</f>
        <v>28</v>
      </c>
      <c r="T20" s="4"/>
    </row>
    <row r="21" spans="1:20" hidden="1">
      <c r="A21" s="131"/>
      <c r="B21" s="132"/>
      <c r="C21" s="132"/>
      <c r="D21" s="132"/>
      <c r="E21" s="133"/>
      <c r="F21" s="134"/>
      <c r="G21" s="132"/>
      <c r="H21" s="135"/>
      <c r="I21" s="136" t="s">
        <v>422</v>
      </c>
      <c r="K21"/>
      <c r="N21" s="137">
        <f>H20*1.5</f>
        <v>1.0499999999999998</v>
      </c>
      <c r="O21" s="137"/>
      <c r="P21" s="137"/>
      <c r="Q21" s="137">
        <f>H20*2.5</f>
        <v>1.75</v>
      </c>
      <c r="R21" s="137">
        <f>H20*1.4</f>
        <v>0.97999999999999987</v>
      </c>
      <c r="S21" s="137">
        <f>H20*23</f>
        <v>16.099999999999998</v>
      </c>
      <c r="T21" s="131"/>
    </row>
    <row r="22" spans="1:20" ht="15.95">
      <c r="A22" s="4" t="s">
        <v>2</v>
      </c>
      <c r="B22" s="30" t="s">
        <v>433</v>
      </c>
      <c r="C22" s="30" t="s">
        <v>434</v>
      </c>
      <c r="D22" s="30" t="s">
        <v>238</v>
      </c>
      <c r="E22" s="59">
        <v>12</v>
      </c>
      <c r="F22" s="125">
        <v>46171</v>
      </c>
      <c r="G22" s="30" t="s">
        <v>261</v>
      </c>
      <c r="H22" s="60">
        <v>0.3</v>
      </c>
      <c r="I22" s="141">
        <f>E22*H22</f>
        <v>3.5999999999999996</v>
      </c>
      <c r="K22" s="89" t="s">
        <v>317</v>
      </c>
    </row>
    <row r="23" spans="1:20" hidden="1">
      <c r="A23" s="131"/>
      <c r="B23" s="132"/>
      <c r="C23" s="132"/>
      <c r="D23" s="132"/>
      <c r="E23" s="133"/>
      <c r="F23" s="134"/>
      <c r="G23" s="132"/>
      <c r="H23" s="135"/>
      <c r="I23" s="136"/>
      <c r="K23"/>
      <c r="N23" s="131"/>
      <c r="O23" s="131"/>
      <c r="P23" s="131"/>
      <c r="Q23" s="131"/>
      <c r="R23" s="131"/>
      <c r="S23" s="131"/>
      <c r="T23" s="131"/>
    </row>
    <row r="24" spans="1:20" ht="15.95" hidden="1">
      <c r="A24" s="4" t="s">
        <v>2</v>
      </c>
      <c r="B24" s="30" t="s">
        <v>435</v>
      </c>
      <c r="C24" s="30" t="s">
        <v>436</v>
      </c>
      <c r="D24" s="30" t="s">
        <v>282</v>
      </c>
      <c r="E24" s="59">
        <v>20</v>
      </c>
      <c r="F24" s="125">
        <v>46171</v>
      </c>
      <c r="G24" s="30" t="s">
        <v>331</v>
      </c>
      <c r="H24" s="60">
        <v>0.25</v>
      </c>
      <c r="I24" s="141">
        <f>E24*H24*$M$1</f>
        <v>0</v>
      </c>
      <c r="K24" s="4"/>
      <c r="N24" s="161"/>
      <c r="O24" s="161"/>
      <c r="P24" s="161"/>
      <c r="Q24" s="161"/>
      <c r="R24" s="161"/>
      <c r="S24" s="161"/>
      <c r="T24" s="161"/>
    </row>
    <row r="25" spans="1:20" hidden="1">
      <c r="A25" s="131"/>
      <c r="B25" s="132"/>
      <c r="C25" s="132"/>
      <c r="D25" s="132"/>
      <c r="E25" s="133"/>
      <c r="F25" s="134"/>
      <c r="G25" s="132"/>
      <c r="H25" s="135"/>
      <c r="I25" s="136"/>
      <c r="K25"/>
      <c r="N25" s="131"/>
      <c r="O25" s="131"/>
      <c r="P25" s="131"/>
      <c r="Q25" s="131"/>
      <c r="R25" s="131"/>
      <c r="S25" s="131"/>
      <c r="T25" s="131"/>
    </row>
    <row r="26" spans="1:20" ht="15.95">
      <c r="A26" s="4" t="s">
        <v>2</v>
      </c>
      <c r="B26" s="30" t="s">
        <v>437</v>
      </c>
      <c r="C26" s="30" t="s">
        <v>396</v>
      </c>
      <c r="D26" s="30" t="s">
        <v>282</v>
      </c>
      <c r="E26" s="59">
        <v>2</v>
      </c>
      <c r="F26" s="125">
        <v>46171</v>
      </c>
      <c r="G26" s="30" t="s">
        <v>252</v>
      </c>
      <c r="H26" s="60">
        <v>0.7</v>
      </c>
      <c r="I26" s="141">
        <f>E26*H26</f>
        <v>1.4</v>
      </c>
      <c r="K26" s="89" t="s">
        <v>428</v>
      </c>
    </row>
    <row r="27" spans="1:20" hidden="1">
      <c r="A27" s="131"/>
      <c r="B27" s="132"/>
      <c r="C27" s="132"/>
      <c r="D27" s="132"/>
      <c r="E27" s="133"/>
      <c r="F27" s="134"/>
      <c r="G27" s="132"/>
      <c r="H27" s="135"/>
      <c r="I27" s="136"/>
      <c r="K27"/>
      <c r="N27" s="131"/>
      <c r="O27" s="131"/>
      <c r="P27" s="131"/>
      <c r="Q27" s="131"/>
      <c r="R27" s="131"/>
      <c r="S27" s="131"/>
      <c r="T27" s="131"/>
    </row>
    <row r="28" spans="1:20" ht="15.95" hidden="1">
      <c r="A28" s="4" t="s">
        <v>2</v>
      </c>
      <c r="B28" s="30" t="s">
        <v>438</v>
      </c>
      <c r="C28" s="30" t="s">
        <v>439</v>
      </c>
      <c r="D28" s="30"/>
      <c r="E28" s="59">
        <v>20</v>
      </c>
      <c r="F28" s="125">
        <v>46171</v>
      </c>
      <c r="G28" s="30" t="s">
        <v>331</v>
      </c>
      <c r="H28" s="60">
        <v>0</v>
      </c>
      <c r="I28" s="141">
        <f>E28*H28*$M$1</f>
        <v>0</v>
      </c>
      <c r="K28" s="4"/>
      <c r="N28" s="162"/>
      <c r="O28" s="162"/>
      <c r="P28" s="162"/>
      <c r="Q28" s="162"/>
      <c r="R28" s="162"/>
      <c r="S28" s="162"/>
      <c r="T28" s="162"/>
    </row>
    <row r="29" spans="1:20" hidden="1">
      <c r="A29" s="131"/>
      <c r="B29" s="132"/>
      <c r="C29" s="132"/>
      <c r="D29" s="132"/>
      <c r="E29" s="133"/>
      <c r="F29" s="134"/>
      <c r="G29" s="132"/>
      <c r="H29" s="135"/>
      <c r="I29" s="136"/>
      <c r="K29" s="4"/>
      <c r="N29" s="131"/>
      <c r="O29" s="131"/>
      <c r="P29" s="131"/>
      <c r="Q29" s="131"/>
      <c r="R29" s="131"/>
      <c r="S29" s="131"/>
      <c r="T29" s="131"/>
    </row>
    <row r="30" spans="1:20" ht="15.95" hidden="1">
      <c r="A30" s="4" t="s">
        <v>2</v>
      </c>
      <c r="B30" s="30" t="s">
        <v>440</v>
      </c>
      <c r="C30" s="30" t="s">
        <v>55</v>
      </c>
      <c r="D30" s="30" t="s">
        <v>247</v>
      </c>
      <c r="E30" s="59">
        <v>140</v>
      </c>
      <c r="F30" s="125">
        <v>46171</v>
      </c>
      <c r="G30" s="30" t="s">
        <v>360</v>
      </c>
      <c r="H30" s="60">
        <v>0.7</v>
      </c>
      <c r="I30" s="141"/>
      <c r="K30" s="89"/>
      <c r="N30" s="161"/>
      <c r="O30" s="161"/>
      <c r="P30" s="161"/>
      <c r="Q30" s="161"/>
      <c r="R30" s="161"/>
      <c r="S30" s="161"/>
      <c r="T30" s="161"/>
    </row>
    <row r="31" spans="1:20" hidden="1">
      <c r="A31" s="131"/>
      <c r="B31" s="132"/>
      <c r="C31" s="132"/>
      <c r="D31" s="132"/>
      <c r="E31" s="133"/>
      <c r="F31" s="134"/>
      <c r="G31" s="132"/>
      <c r="H31" s="135"/>
      <c r="I31" s="136"/>
      <c r="N31" s="148"/>
      <c r="O31" s="148"/>
      <c r="P31" s="148"/>
      <c r="Q31" s="148"/>
      <c r="R31" s="148"/>
      <c r="S31" s="148"/>
      <c r="T31" s="148"/>
    </row>
    <row r="32" spans="1:20" ht="15.95">
      <c r="A32" s="4" t="s">
        <v>2</v>
      </c>
      <c r="B32" s="30" t="s">
        <v>369</v>
      </c>
      <c r="C32" s="30" t="s">
        <v>237</v>
      </c>
      <c r="D32" s="30" t="s">
        <v>247</v>
      </c>
      <c r="E32" s="59">
        <v>160</v>
      </c>
      <c r="F32" s="125">
        <v>46171</v>
      </c>
      <c r="G32" s="30" t="s">
        <v>261</v>
      </c>
      <c r="H32" s="60">
        <v>0.7</v>
      </c>
      <c r="I32" s="141">
        <f>E32*H32</f>
        <v>112</v>
      </c>
      <c r="K32" s="89" t="s">
        <v>428</v>
      </c>
      <c r="N32" s="110"/>
      <c r="O32" s="127">
        <f>I32*10%</f>
        <v>11.200000000000001</v>
      </c>
      <c r="P32" s="127"/>
      <c r="Q32" s="110"/>
      <c r="R32" s="110"/>
      <c r="S32" s="127">
        <f>60%*I32</f>
        <v>67.2</v>
      </c>
      <c r="T32" s="123">
        <f>I32*30%</f>
        <v>33.6</v>
      </c>
    </row>
    <row r="33" spans="1:23" hidden="1">
      <c r="A33" s="131"/>
      <c r="B33" s="132"/>
      <c r="C33" s="132"/>
      <c r="D33" s="132"/>
      <c r="E33" s="133"/>
      <c r="F33" s="134"/>
      <c r="G33" s="132"/>
      <c r="H33" s="135"/>
      <c r="I33" s="136" t="s">
        <v>422</v>
      </c>
      <c r="K33"/>
      <c r="N33" s="137">
        <f>1.4*H32</f>
        <v>0.97999999999999987</v>
      </c>
      <c r="O33" s="139">
        <f>0.3*H32</f>
        <v>0.21</v>
      </c>
      <c r="P33" s="139"/>
      <c r="Q33" s="139"/>
      <c r="R33" s="139">
        <f>9.2*H32</f>
        <v>6.4399999999999995</v>
      </c>
      <c r="S33" s="139">
        <f>1.1*H32</f>
        <v>0.77</v>
      </c>
      <c r="T33" s="131">
        <f>17*H32</f>
        <v>11.899999999999999</v>
      </c>
    </row>
    <row r="34" spans="1:23" ht="15.95">
      <c r="A34" s="4" t="s">
        <v>2</v>
      </c>
      <c r="B34" s="30" t="s">
        <v>301</v>
      </c>
      <c r="C34" s="30" t="s">
        <v>302</v>
      </c>
      <c r="D34" s="30" t="s">
        <v>247</v>
      </c>
      <c r="E34" s="59">
        <v>10</v>
      </c>
      <c r="F34" s="125">
        <v>46171</v>
      </c>
      <c r="G34" s="30" t="s">
        <v>239</v>
      </c>
      <c r="H34" s="60">
        <v>0.7</v>
      </c>
      <c r="I34" s="141">
        <f>E34*H34</f>
        <v>7</v>
      </c>
      <c r="K34" s="89" t="s">
        <v>317</v>
      </c>
    </row>
    <row r="35" spans="1:23" hidden="1">
      <c r="A35" s="131"/>
      <c r="B35" s="132"/>
      <c r="C35" s="132"/>
      <c r="D35" s="132"/>
      <c r="E35" s="133"/>
      <c r="F35" s="134"/>
      <c r="G35" s="132"/>
      <c r="H35" s="135"/>
      <c r="I35" s="136"/>
      <c r="K35"/>
      <c r="N35" s="148"/>
      <c r="O35" s="148"/>
      <c r="P35" s="148"/>
      <c r="Q35" s="148"/>
      <c r="R35" s="148"/>
      <c r="S35" s="148"/>
      <c r="T35" s="148"/>
    </row>
    <row r="36" spans="1:23" ht="15.95">
      <c r="A36" s="4" t="s">
        <v>2</v>
      </c>
      <c r="B36" s="30" t="s">
        <v>339</v>
      </c>
      <c r="C36" s="30" t="s">
        <v>340</v>
      </c>
      <c r="D36" s="30" t="s">
        <v>282</v>
      </c>
      <c r="E36" s="59">
        <v>120</v>
      </c>
      <c r="F36" s="125">
        <v>46171</v>
      </c>
      <c r="G36" s="30" t="s">
        <v>261</v>
      </c>
      <c r="H36" s="60">
        <v>0.3</v>
      </c>
      <c r="I36" s="141">
        <f>E36*H36</f>
        <v>36</v>
      </c>
      <c r="K36" s="89" t="s">
        <v>280</v>
      </c>
      <c r="N36" s="4"/>
      <c r="O36" s="4"/>
      <c r="P36" s="4"/>
      <c r="Q36" s="4"/>
      <c r="R36" s="4"/>
      <c r="S36" s="4"/>
      <c r="T36" s="4"/>
    </row>
    <row r="37" spans="1:23" hidden="1">
      <c r="A37" s="131"/>
      <c r="B37" s="132"/>
      <c r="C37" s="132"/>
      <c r="D37" s="132"/>
      <c r="E37" s="133"/>
      <c r="F37" s="134"/>
      <c r="G37" s="132"/>
      <c r="H37" s="135"/>
      <c r="I37" s="136" t="s">
        <v>422</v>
      </c>
      <c r="K37"/>
      <c r="N37" s="131"/>
      <c r="O37" s="131"/>
      <c r="P37" s="131"/>
      <c r="Q37" s="131"/>
      <c r="R37" s="131"/>
      <c r="S37" s="131"/>
      <c r="T37" s="131"/>
    </row>
    <row r="38" spans="1:23" ht="15.95">
      <c r="A38" s="4" t="s">
        <v>21</v>
      </c>
      <c r="B38" s="30" t="s">
        <v>441</v>
      </c>
      <c r="C38" s="30" t="s">
        <v>430</v>
      </c>
      <c r="D38" s="30" t="s">
        <v>238</v>
      </c>
      <c r="E38" s="59">
        <v>10</v>
      </c>
      <c r="F38" s="125">
        <v>46171</v>
      </c>
      <c r="G38" s="30" t="s">
        <v>243</v>
      </c>
      <c r="H38" s="60">
        <v>0.9</v>
      </c>
      <c r="I38" s="141">
        <f>E38*H38</f>
        <v>9</v>
      </c>
      <c r="K38" s="89" t="s">
        <v>244</v>
      </c>
    </row>
    <row r="39" spans="1:23" hidden="1">
      <c r="A39" s="131"/>
      <c r="B39" s="132"/>
      <c r="C39" s="132"/>
      <c r="D39" s="132"/>
      <c r="E39" s="133"/>
      <c r="F39" s="134"/>
      <c r="G39" s="132"/>
      <c r="H39" s="135"/>
      <c r="I39" s="136"/>
      <c r="K39"/>
      <c r="N39" s="148"/>
      <c r="O39" s="148"/>
      <c r="P39" s="148"/>
      <c r="Q39" s="148"/>
      <c r="R39" s="148"/>
      <c r="S39" s="148"/>
      <c r="T39" s="148"/>
    </row>
    <row r="40" spans="1:23" ht="15.95">
      <c r="A40" s="4" t="s">
        <v>21</v>
      </c>
      <c r="B40" s="30" t="s">
        <v>258</v>
      </c>
      <c r="C40" s="30" t="s">
        <v>320</v>
      </c>
      <c r="D40" s="30" t="s">
        <v>238</v>
      </c>
      <c r="E40" s="59">
        <v>40</v>
      </c>
      <c r="F40" s="125">
        <v>46171</v>
      </c>
      <c r="G40" s="30" t="s">
        <v>243</v>
      </c>
      <c r="H40" s="60">
        <v>0.9</v>
      </c>
      <c r="I40" s="141">
        <f>E40*H40</f>
        <v>36</v>
      </c>
      <c r="K40" s="89" t="s">
        <v>317</v>
      </c>
      <c r="N40" s="4"/>
      <c r="O40" s="4"/>
      <c r="P40" s="4"/>
      <c r="Q40" s="4"/>
      <c r="R40" s="4"/>
      <c r="S40" s="4"/>
      <c r="T40" s="4"/>
    </row>
    <row r="41" spans="1:23" hidden="1">
      <c r="A41" s="131"/>
      <c r="B41" s="132"/>
      <c r="C41" s="132"/>
      <c r="D41" s="132"/>
      <c r="E41" s="133"/>
      <c r="F41" s="134"/>
      <c r="G41" s="132"/>
      <c r="H41" s="135"/>
      <c r="I41" s="136" t="s">
        <v>422</v>
      </c>
      <c r="K41"/>
      <c r="N41" s="131"/>
      <c r="O41" s="131"/>
      <c r="P41" s="131"/>
      <c r="Q41" s="131"/>
      <c r="R41" s="131"/>
      <c r="S41" s="131"/>
      <c r="T41" s="131"/>
    </row>
    <row r="42" spans="1:23" ht="15.95">
      <c r="A42" s="4" t="s">
        <v>2</v>
      </c>
      <c r="B42" s="30" t="s">
        <v>442</v>
      </c>
      <c r="C42" s="30" t="s">
        <v>338</v>
      </c>
      <c r="D42" s="30" t="s">
        <v>247</v>
      </c>
      <c r="E42" s="59">
        <v>300</v>
      </c>
      <c r="F42" s="125">
        <v>46172</v>
      </c>
      <c r="G42" s="30" t="s">
        <v>252</v>
      </c>
      <c r="H42" s="60">
        <v>0.7</v>
      </c>
      <c r="I42" s="141">
        <f>E42*H42</f>
        <v>210</v>
      </c>
      <c r="K42" s="89" t="s">
        <v>428</v>
      </c>
      <c r="N42" s="123">
        <f>I42*20%</f>
        <v>42</v>
      </c>
      <c r="O42" s="123">
        <f>I42*10%</f>
        <v>21</v>
      </c>
      <c r="P42" s="123">
        <f>I42*15%</f>
        <v>31.5</v>
      </c>
      <c r="Q42" s="123">
        <f>I42*5%</f>
        <v>10.5</v>
      </c>
      <c r="R42" s="4"/>
      <c r="S42" s="4"/>
      <c r="T42" s="123">
        <f>I42*21%</f>
        <v>44.1</v>
      </c>
      <c r="U42" s="123">
        <f>I42*9%</f>
        <v>18.899999999999999</v>
      </c>
      <c r="V42" s="123">
        <f>I42*20%</f>
        <v>42</v>
      </c>
      <c r="W42" s="123"/>
    </row>
    <row r="43" spans="1:23" hidden="1">
      <c r="A43" s="148"/>
      <c r="B43" s="149"/>
      <c r="C43" s="149"/>
      <c r="D43" s="149"/>
      <c r="E43" s="150"/>
      <c r="F43" s="151"/>
      <c r="G43" s="149"/>
      <c r="H43" s="152"/>
      <c r="I43" s="153" t="s">
        <v>422</v>
      </c>
      <c r="K43"/>
      <c r="N43" s="131"/>
      <c r="O43" s="131">
        <f>1*H42</f>
        <v>0.7</v>
      </c>
      <c r="P43" s="131"/>
      <c r="Q43" s="131">
        <f>9.9*H42</f>
        <v>6.93</v>
      </c>
      <c r="R43" s="131">
        <f>20*H42</f>
        <v>14</v>
      </c>
      <c r="S43" s="131">
        <f>76*H42</f>
        <v>53.199999999999996</v>
      </c>
      <c r="T43" s="131">
        <f>4.2*H42</f>
        <v>2.94</v>
      </c>
      <c r="U43" s="131">
        <f>4*H42</f>
        <v>2.8</v>
      </c>
      <c r="V43" s="131"/>
      <c r="W43" s="131">
        <f>44*H42</f>
        <v>30.799999999999997</v>
      </c>
    </row>
    <row r="44" spans="1:23" ht="15.95">
      <c r="A44" s="4" t="s">
        <v>147</v>
      </c>
      <c r="B44" s="30" t="s">
        <v>443</v>
      </c>
      <c r="C44" s="30" t="s">
        <v>311</v>
      </c>
      <c r="D44" s="30" t="s">
        <v>247</v>
      </c>
      <c r="E44" s="59">
        <v>118</v>
      </c>
      <c r="F44" s="125">
        <v>46172</v>
      </c>
      <c r="G44" s="30" t="s">
        <v>261</v>
      </c>
      <c r="H44" s="60">
        <v>0.5</v>
      </c>
      <c r="I44" s="141">
        <f>E44*H44</f>
        <v>59</v>
      </c>
      <c r="K44" s="89" t="s">
        <v>317</v>
      </c>
      <c r="N44" s="127">
        <f>I44/5</f>
        <v>11.8</v>
      </c>
      <c r="O44" s="127">
        <f>$N$44</f>
        <v>11.8</v>
      </c>
      <c r="P44" s="127">
        <f t="shared" ref="P44:R44" si="1">$N$44</f>
        <v>11.8</v>
      </c>
      <c r="Q44" s="127">
        <f t="shared" si="1"/>
        <v>11.8</v>
      </c>
      <c r="R44" s="127">
        <f t="shared" si="1"/>
        <v>11.8</v>
      </c>
      <c r="S44" s="4"/>
      <c r="T44" s="4"/>
    </row>
    <row r="45" spans="1:23" ht="15.95" hidden="1" thickBot="1">
      <c r="A45" s="154"/>
      <c r="B45" s="155"/>
      <c r="C45" s="155"/>
      <c r="D45" s="155"/>
      <c r="E45" s="156"/>
      <c r="F45" s="157"/>
      <c r="G45" s="155"/>
      <c r="H45" s="158"/>
      <c r="I45" s="159" t="s">
        <v>422</v>
      </c>
      <c r="K45"/>
      <c r="N45" s="166"/>
      <c r="O45" s="166">
        <f>2.4*H44</f>
        <v>1.2</v>
      </c>
      <c r="P45" s="166">
        <f>8.5*H44</f>
        <v>4.25</v>
      </c>
      <c r="Q45" s="166">
        <f>H44*33</f>
        <v>16.5</v>
      </c>
      <c r="R45" s="166">
        <f>H44*4.9</f>
        <v>2.4500000000000002</v>
      </c>
      <c r="S45" s="154"/>
      <c r="T45" s="154"/>
    </row>
    <row r="46" spans="1:23" ht="15.95" hidden="1">
      <c r="A46" s="142" t="s">
        <v>2</v>
      </c>
      <c r="B46" s="143" t="s">
        <v>444</v>
      </c>
      <c r="C46" s="143" t="s">
        <v>445</v>
      </c>
      <c r="D46" s="143" t="s">
        <v>238</v>
      </c>
      <c r="E46" s="144">
        <v>6</v>
      </c>
      <c r="F46" s="145">
        <v>46199</v>
      </c>
      <c r="G46" s="143" t="s">
        <v>261</v>
      </c>
      <c r="H46" s="146">
        <v>0.5</v>
      </c>
      <c r="I46" s="147">
        <f>E46*H46</f>
        <v>3</v>
      </c>
    </row>
    <row r="47" spans="1:23" hidden="1">
      <c r="A47" s="148"/>
      <c r="B47" s="149"/>
      <c r="C47" s="149"/>
      <c r="D47" s="149"/>
      <c r="E47" s="150"/>
      <c r="F47" s="151"/>
      <c r="G47" s="149"/>
      <c r="H47" s="152"/>
      <c r="I47" s="153"/>
      <c r="K47"/>
      <c r="N47" s="131"/>
      <c r="O47" s="131"/>
      <c r="P47" s="131"/>
      <c r="Q47" s="131"/>
      <c r="R47" s="131"/>
      <c r="S47" s="131"/>
      <c r="T47" s="131"/>
    </row>
    <row r="48" spans="1:23" ht="15.95" hidden="1">
      <c r="A48" s="4" t="s">
        <v>21</v>
      </c>
      <c r="B48" s="30" t="s">
        <v>380</v>
      </c>
      <c r="C48" s="30" t="s">
        <v>356</v>
      </c>
      <c r="D48" s="30" t="s">
        <v>238</v>
      </c>
      <c r="E48" s="59">
        <v>60</v>
      </c>
      <c r="F48" s="125">
        <v>46199</v>
      </c>
      <c r="G48" s="30" t="s">
        <v>331</v>
      </c>
      <c r="H48" s="60">
        <v>0.6</v>
      </c>
      <c r="I48" s="141">
        <f>E48*H48*$M$1</f>
        <v>0</v>
      </c>
      <c r="K48" s="4"/>
      <c r="N48" s="127"/>
      <c r="O48" s="127"/>
      <c r="P48" s="127"/>
      <c r="Q48" s="127"/>
      <c r="R48" s="127"/>
      <c r="S48" s="4"/>
      <c r="T48" s="4"/>
    </row>
    <row r="49" spans="1:20" hidden="1">
      <c r="A49" s="131"/>
      <c r="B49" s="132"/>
      <c r="C49" s="132"/>
      <c r="D49" s="132"/>
      <c r="E49" s="133"/>
      <c r="F49" s="134"/>
      <c r="G49" s="132"/>
      <c r="H49" s="135"/>
      <c r="I49" s="136" t="s">
        <v>425</v>
      </c>
      <c r="K49"/>
      <c r="N49" s="148"/>
      <c r="O49" s="148"/>
      <c r="P49" s="148"/>
      <c r="Q49" s="148"/>
      <c r="R49" s="148"/>
      <c r="S49" s="148"/>
      <c r="T49" s="148"/>
    </row>
    <row r="50" spans="1:20" ht="15.95" hidden="1">
      <c r="A50" s="4" t="s">
        <v>21</v>
      </c>
      <c r="B50" s="30" t="s">
        <v>446</v>
      </c>
      <c r="C50" s="30" t="s">
        <v>356</v>
      </c>
      <c r="D50" s="30" t="s">
        <v>238</v>
      </c>
      <c r="E50" s="59">
        <v>20</v>
      </c>
      <c r="F50" s="125">
        <v>46199</v>
      </c>
      <c r="G50" s="30" t="s">
        <v>243</v>
      </c>
      <c r="H50" s="60">
        <v>0.9</v>
      </c>
      <c r="I50" s="141">
        <f>E50*H50</f>
        <v>18</v>
      </c>
      <c r="N50" s="4"/>
      <c r="O50" s="4"/>
      <c r="P50" s="4"/>
      <c r="Q50" s="4"/>
      <c r="R50" s="4"/>
      <c r="S50" s="4"/>
      <c r="T50" s="4"/>
    </row>
    <row r="51" spans="1:20" hidden="1">
      <c r="A51" s="131"/>
      <c r="B51" s="132"/>
      <c r="C51" s="132"/>
      <c r="D51" s="132"/>
      <c r="E51" s="133"/>
      <c r="F51" s="134"/>
      <c r="G51" s="132"/>
      <c r="H51" s="135"/>
      <c r="I51" s="136" t="s">
        <v>422</v>
      </c>
      <c r="K51"/>
      <c r="N51" s="131"/>
      <c r="O51" s="131"/>
      <c r="P51" s="131"/>
      <c r="Q51" s="131"/>
      <c r="R51" s="131"/>
      <c r="S51" s="131"/>
      <c r="T51" s="131"/>
    </row>
    <row r="52" spans="1:20" ht="15.95" hidden="1">
      <c r="A52" s="4" t="s">
        <v>21</v>
      </c>
      <c r="B52" s="30" t="s">
        <v>393</v>
      </c>
      <c r="C52" s="30" t="s">
        <v>430</v>
      </c>
      <c r="D52" s="30" t="s">
        <v>238</v>
      </c>
      <c r="E52" s="59">
        <v>41</v>
      </c>
      <c r="F52" s="125">
        <v>46199</v>
      </c>
      <c r="G52" s="30" t="s">
        <v>261</v>
      </c>
      <c r="H52" s="60">
        <v>0.15</v>
      </c>
      <c r="I52" s="141">
        <f>E52*H52</f>
        <v>6.1499999999999995</v>
      </c>
    </row>
    <row r="53" spans="1:20" hidden="1">
      <c r="A53" s="131"/>
      <c r="B53" s="132"/>
      <c r="C53" s="132"/>
      <c r="D53" s="132"/>
      <c r="E53" s="133"/>
      <c r="F53" s="134"/>
      <c r="G53" s="132"/>
      <c r="H53" s="135"/>
      <c r="I53" s="136"/>
      <c r="K53"/>
      <c r="N53" s="131"/>
      <c r="O53" s="131"/>
      <c r="P53" s="131"/>
      <c r="Q53" s="131"/>
      <c r="R53" s="131"/>
      <c r="S53" s="131"/>
      <c r="T53" s="131"/>
    </row>
    <row r="54" spans="1:20" ht="15.95" hidden="1">
      <c r="A54" s="4" t="s">
        <v>2</v>
      </c>
      <c r="B54" s="30" t="s">
        <v>365</v>
      </c>
      <c r="C54" s="30" t="s">
        <v>366</v>
      </c>
      <c r="D54" s="30" t="s">
        <v>282</v>
      </c>
      <c r="E54" s="59">
        <v>70</v>
      </c>
      <c r="F54" s="125">
        <v>46203</v>
      </c>
      <c r="G54" s="30" t="s">
        <v>331</v>
      </c>
      <c r="H54" s="60">
        <v>0.5</v>
      </c>
      <c r="I54" s="141">
        <f>E54*H54*$M$1</f>
        <v>0</v>
      </c>
      <c r="K54" s="4"/>
      <c r="N54" s="127"/>
      <c r="O54" s="127"/>
      <c r="P54" s="127"/>
      <c r="Q54" s="127"/>
      <c r="R54" s="127"/>
      <c r="S54" s="4"/>
      <c r="T54" s="4"/>
    </row>
    <row r="55" spans="1:20" hidden="1">
      <c r="A55" s="131"/>
      <c r="B55" s="132"/>
      <c r="C55" s="132"/>
      <c r="D55" s="132"/>
      <c r="E55" s="133"/>
      <c r="F55" s="134"/>
      <c r="G55" s="132"/>
      <c r="H55" s="135"/>
      <c r="I55" s="136" t="s">
        <v>425</v>
      </c>
      <c r="K55"/>
      <c r="N55" s="148"/>
      <c r="O55" s="148"/>
      <c r="P55" s="148"/>
      <c r="Q55" s="148"/>
      <c r="R55" s="148"/>
      <c r="S55" s="148"/>
      <c r="T55" s="148"/>
    </row>
    <row r="56" spans="1:20" ht="15.95" hidden="1">
      <c r="A56" s="4" t="s">
        <v>2</v>
      </c>
      <c r="B56" s="30" t="s">
        <v>447</v>
      </c>
      <c r="C56" s="30" t="s">
        <v>396</v>
      </c>
      <c r="D56" s="30" t="s">
        <v>282</v>
      </c>
      <c r="E56" s="59">
        <v>100</v>
      </c>
      <c r="F56" s="125">
        <v>46203</v>
      </c>
      <c r="G56" s="30" t="s">
        <v>261</v>
      </c>
      <c r="H56" s="60">
        <v>0.5</v>
      </c>
      <c r="I56" s="141">
        <f>E56*H56</f>
        <v>50</v>
      </c>
      <c r="N56" s="4"/>
      <c r="O56" s="4"/>
      <c r="P56" s="4"/>
      <c r="Q56" s="4"/>
      <c r="R56" s="4"/>
      <c r="S56" s="4"/>
      <c r="T56" s="4"/>
    </row>
    <row r="57" spans="1:20" hidden="1">
      <c r="A57" s="131"/>
      <c r="B57" s="132"/>
      <c r="C57" s="132"/>
      <c r="D57" s="132"/>
      <c r="E57" s="133"/>
      <c r="F57" s="134"/>
      <c r="G57" s="132"/>
      <c r="H57" s="135"/>
      <c r="I57" s="136" t="s">
        <v>422</v>
      </c>
      <c r="K57"/>
      <c r="N57" s="131"/>
      <c r="O57" s="131"/>
      <c r="P57" s="131"/>
      <c r="Q57" s="131"/>
      <c r="R57" s="131"/>
      <c r="S57" s="131"/>
      <c r="T57" s="131"/>
    </row>
    <row r="58" spans="1:20" ht="15.95" hidden="1">
      <c r="A58" s="4" t="s">
        <v>2</v>
      </c>
      <c r="B58" s="30" t="s">
        <v>374</v>
      </c>
      <c r="C58" s="30" t="s">
        <v>356</v>
      </c>
      <c r="D58" s="30" t="s">
        <v>238</v>
      </c>
      <c r="E58" s="59">
        <v>300</v>
      </c>
      <c r="F58" s="125">
        <v>46203</v>
      </c>
      <c r="G58" s="30" t="s">
        <v>331</v>
      </c>
      <c r="H58" s="60">
        <v>0.6</v>
      </c>
      <c r="I58" s="141">
        <f>E58*H58*$M$1</f>
        <v>0</v>
      </c>
      <c r="K58" s="4"/>
      <c r="N58" s="127"/>
      <c r="O58" s="127"/>
      <c r="P58" s="127"/>
      <c r="Q58" s="127"/>
      <c r="R58" s="127"/>
      <c r="S58" s="4"/>
      <c r="T58" s="4"/>
    </row>
    <row r="59" spans="1:20" hidden="1">
      <c r="A59" s="131"/>
      <c r="B59" s="132"/>
      <c r="C59" s="132"/>
      <c r="D59" s="132"/>
      <c r="E59" s="133"/>
      <c r="F59" s="134"/>
      <c r="G59" s="132"/>
      <c r="H59" s="135"/>
      <c r="I59" s="136" t="s">
        <v>425</v>
      </c>
      <c r="K59" s="4"/>
      <c r="N59" s="131"/>
      <c r="O59" s="131"/>
      <c r="P59" s="131"/>
      <c r="Q59" s="131"/>
      <c r="R59" s="131"/>
      <c r="S59" s="131"/>
      <c r="T59" s="131"/>
    </row>
    <row r="60" spans="1:20" ht="15.95" hidden="1">
      <c r="A60" s="4" t="s">
        <v>2</v>
      </c>
      <c r="B60" s="30" t="s">
        <v>342</v>
      </c>
      <c r="C60" s="30" t="s">
        <v>448</v>
      </c>
      <c r="D60" s="30" t="s">
        <v>282</v>
      </c>
      <c r="E60" s="59">
        <v>5</v>
      </c>
      <c r="F60" s="125">
        <v>46203</v>
      </c>
      <c r="G60" s="30" t="s">
        <v>331</v>
      </c>
      <c r="H60" s="60">
        <v>0.9</v>
      </c>
      <c r="I60" s="141">
        <f>E60*H60*$M$1</f>
        <v>0</v>
      </c>
      <c r="K60" s="89"/>
      <c r="N60" s="161"/>
      <c r="O60" s="161"/>
      <c r="P60" s="161"/>
      <c r="Q60" s="161"/>
      <c r="R60" s="161"/>
      <c r="S60" s="161"/>
      <c r="T60" s="161"/>
    </row>
    <row r="61" spans="1:20" hidden="1">
      <c r="A61" s="131"/>
      <c r="B61" s="132"/>
      <c r="C61" s="132"/>
      <c r="D61" s="132"/>
      <c r="E61" s="133"/>
      <c r="F61" s="134"/>
      <c r="G61" s="132"/>
      <c r="H61" s="135"/>
      <c r="I61" s="136"/>
      <c r="N61" s="148"/>
      <c r="O61" s="148"/>
      <c r="P61" s="148"/>
      <c r="Q61" s="148"/>
      <c r="R61" s="148"/>
      <c r="S61" s="148"/>
      <c r="T61" s="148"/>
    </row>
    <row r="62" spans="1:20" ht="15.95" hidden="1">
      <c r="A62" s="4" t="s">
        <v>2</v>
      </c>
      <c r="B62" s="30" t="s">
        <v>262</v>
      </c>
      <c r="C62" s="30" t="s">
        <v>263</v>
      </c>
      <c r="D62" s="30" t="s">
        <v>247</v>
      </c>
      <c r="E62" s="59">
        <v>180</v>
      </c>
      <c r="F62" s="125">
        <v>46203</v>
      </c>
      <c r="G62" s="30" t="s">
        <v>239</v>
      </c>
      <c r="H62" s="60">
        <v>0.7</v>
      </c>
      <c r="I62" s="141">
        <f>E62*H62</f>
        <v>125.99999999999999</v>
      </c>
      <c r="N62" s="4"/>
      <c r="O62" s="4"/>
      <c r="P62" s="4"/>
      <c r="Q62" s="4"/>
      <c r="R62" s="4"/>
      <c r="S62" s="4"/>
      <c r="T62" s="4"/>
    </row>
    <row r="63" spans="1:20" hidden="1">
      <c r="A63" s="131"/>
      <c r="B63" s="132"/>
      <c r="C63" s="132"/>
      <c r="D63" s="132"/>
      <c r="E63" s="133"/>
      <c r="F63" s="134"/>
      <c r="G63" s="132"/>
      <c r="H63" s="135"/>
      <c r="I63" s="136" t="s">
        <v>422</v>
      </c>
      <c r="K63"/>
      <c r="N63" s="131"/>
      <c r="O63" s="131"/>
      <c r="P63" s="131"/>
      <c r="Q63" s="131"/>
      <c r="R63" s="131"/>
      <c r="S63" s="131"/>
      <c r="T63" s="131"/>
    </row>
    <row r="64" spans="1:20" ht="15.95" hidden="1">
      <c r="A64" s="4" t="s">
        <v>2</v>
      </c>
      <c r="B64" s="30" t="s">
        <v>397</v>
      </c>
      <c r="C64" s="30" t="s">
        <v>398</v>
      </c>
      <c r="D64" s="30" t="s">
        <v>238</v>
      </c>
      <c r="E64" s="59">
        <v>120</v>
      </c>
      <c r="F64" s="125">
        <v>46203</v>
      </c>
      <c r="G64" s="30" t="s">
        <v>261</v>
      </c>
      <c r="H64" s="60">
        <v>0.5</v>
      </c>
      <c r="I64" s="141">
        <f>E64*H64</f>
        <v>60</v>
      </c>
      <c r="N64" s="4"/>
      <c r="O64" s="4"/>
      <c r="P64" s="4"/>
      <c r="Q64" s="4"/>
      <c r="R64" s="4"/>
      <c r="S64" s="4"/>
      <c r="T64" s="4"/>
    </row>
    <row r="65" spans="1:20" hidden="1">
      <c r="A65" s="131"/>
      <c r="B65" s="132"/>
      <c r="C65" s="132"/>
      <c r="D65" s="132"/>
      <c r="E65" s="133"/>
      <c r="F65" s="134"/>
      <c r="G65" s="132"/>
      <c r="H65" s="135"/>
      <c r="I65" s="136" t="s">
        <v>422</v>
      </c>
      <c r="K65"/>
      <c r="N65" s="131"/>
      <c r="O65" s="131"/>
      <c r="P65" s="131"/>
      <c r="Q65" s="131"/>
      <c r="R65" s="131"/>
      <c r="S65" s="131"/>
      <c r="T65" s="131"/>
    </row>
    <row r="66" spans="1:20" ht="15.95" hidden="1">
      <c r="A66" s="4" t="s">
        <v>2</v>
      </c>
      <c r="B66" s="30" t="s">
        <v>367</v>
      </c>
      <c r="C66" s="30" t="s">
        <v>449</v>
      </c>
      <c r="D66" s="30" t="s">
        <v>238</v>
      </c>
      <c r="E66" s="59">
        <v>20</v>
      </c>
      <c r="F66" s="125">
        <v>46203</v>
      </c>
      <c r="G66" s="30" t="s">
        <v>252</v>
      </c>
      <c r="H66" s="60">
        <v>0.6</v>
      </c>
      <c r="I66" s="141">
        <f>E66*H66</f>
        <v>12</v>
      </c>
      <c r="N66" s="4"/>
      <c r="O66" s="4"/>
      <c r="P66" s="4"/>
      <c r="Q66" s="4"/>
      <c r="R66" s="4"/>
      <c r="S66" s="4"/>
      <c r="T66" s="4"/>
    </row>
    <row r="67" spans="1:20" hidden="1">
      <c r="A67" s="131"/>
      <c r="B67" s="132"/>
      <c r="C67" s="132"/>
      <c r="D67" s="132"/>
      <c r="E67" s="133"/>
      <c r="F67" s="134"/>
      <c r="G67" s="132"/>
      <c r="H67" s="135"/>
      <c r="I67" s="136"/>
      <c r="K67"/>
      <c r="N67" s="131"/>
      <c r="O67" s="131"/>
      <c r="P67" s="131"/>
      <c r="Q67" s="131"/>
      <c r="R67" s="131"/>
      <c r="S67" s="131"/>
      <c r="T67" s="131"/>
    </row>
    <row r="68" spans="1:20" ht="15.95" hidden="1">
      <c r="A68" s="4" t="s">
        <v>2</v>
      </c>
      <c r="B68" s="30" t="s">
        <v>399</v>
      </c>
      <c r="C68" s="30" t="s">
        <v>400</v>
      </c>
      <c r="D68" s="30" t="s">
        <v>282</v>
      </c>
      <c r="E68" s="59">
        <v>5.5</v>
      </c>
      <c r="F68" s="125">
        <v>46203</v>
      </c>
      <c r="G68" s="30" t="s">
        <v>261</v>
      </c>
      <c r="H68" s="60">
        <v>0.25</v>
      </c>
      <c r="I68" s="141">
        <f>E68*H68</f>
        <v>1.375</v>
      </c>
      <c r="N68" s="4"/>
      <c r="O68" s="4"/>
      <c r="P68" s="4"/>
      <c r="Q68" s="4"/>
      <c r="R68" s="4"/>
      <c r="S68" s="4"/>
      <c r="T68" s="4"/>
    </row>
    <row r="69" spans="1:20" hidden="1">
      <c r="A69" s="131"/>
      <c r="B69" s="132"/>
      <c r="C69" s="132"/>
      <c r="D69" s="132"/>
      <c r="E69" s="133"/>
      <c r="F69" s="134"/>
      <c r="G69" s="132"/>
      <c r="H69" s="135"/>
      <c r="I69" s="136"/>
      <c r="K69"/>
      <c r="N69" s="131"/>
      <c r="O69" s="131"/>
      <c r="P69" s="131"/>
      <c r="Q69" s="131"/>
      <c r="R69" s="131"/>
      <c r="S69" s="131"/>
      <c r="T69" s="131"/>
    </row>
    <row r="70" spans="1:20" ht="15.95" hidden="1">
      <c r="A70" s="4" t="s">
        <v>2</v>
      </c>
      <c r="B70" s="30" t="s">
        <v>256</v>
      </c>
      <c r="C70" s="30" t="s">
        <v>257</v>
      </c>
      <c r="D70" s="30" t="s">
        <v>242</v>
      </c>
      <c r="E70" s="59">
        <v>145</v>
      </c>
      <c r="F70" s="125">
        <v>46203</v>
      </c>
      <c r="G70" s="30" t="s">
        <v>261</v>
      </c>
      <c r="H70" s="60">
        <v>0.5</v>
      </c>
      <c r="I70" s="141">
        <f>E70*H70</f>
        <v>72.5</v>
      </c>
      <c r="N70" s="4"/>
      <c r="O70" s="4"/>
      <c r="P70" s="4"/>
      <c r="Q70" s="4"/>
      <c r="R70" s="4"/>
      <c r="S70" s="4"/>
      <c r="T70" s="4"/>
    </row>
    <row r="71" spans="1:20" hidden="1">
      <c r="A71" s="131"/>
      <c r="B71" s="132"/>
      <c r="C71" s="132"/>
      <c r="D71" s="132"/>
      <c r="E71" s="133"/>
      <c r="F71" s="134"/>
      <c r="G71" s="132"/>
      <c r="H71" s="135"/>
      <c r="I71" s="136" t="s">
        <v>422</v>
      </c>
      <c r="K71"/>
      <c r="N71" s="131"/>
      <c r="O71" s="131"/>
      <c r="P71" s="131"/>
      <c r="Q71" s="131"/>
      <c r="R71" s="131"/>
      <c r="S71" s="131"/>
      <c r="T71" s="131"/>
    </row>
    <row r="72" spans="1:20" ht="15.95" hidden="1">
      <c r="A72" s="4" t="s">
        <v>2</v>
      </c>
      <c r="B72" s="30" t="s">
        <v>450</v>
      </c>
      <c r="C72" s="30" t="s">
        <v>343</v>
      </c>
      <c r="D72" s="30" t="s">
        <v>247</v>
      </c>
      <c r="E72" s="59">
        <v>52</v>
      </c>
      <c r="F72" s="125">
        <v>46203</v>
      </c>
      <c r="G72" s="30" t="s">
        <v>239</v>
      </c>
      <c r="H72" s="60">
        <v>0.7</v>
      </c>
      <c r="I72" s="141">
        <f>E72*H72</f>
        <v>36.4</v>
      </c>
      <c r="N72" s="123">
        <f>23%*I72*30%+77%*I72</f>
        <v>30.5396</v>
      </c>
      <c r="O72" s="123">
        <f>23%*I72*70%</f>
        <v>5.8603999999999994</v>
      </c>
      <c r="P72" s="4"/>
      <c r="Q72" s="4"/>
      <c r="R72" s="4"/>
      <c r="S72" s="4"/>
      <c r="T72" s="4"/>
    </row>
    <row r="73" spans="1:20" hidden="1">
      <c r="A73" s="131"/>
      <c r="B73" s="132"/>
      <c r="C73" s="132"/>
      <c r="D73" s="132"/>
      <c r="E73" s="133"/>
      <c r="F73" s="134"/>
      <c r="G73" s="132"/>
      <c r="H73" s="135"/>
      <c r="I73" s="136" t="s">
        <v>422</v>
      </c>
      <c r="K73"/>
      <c r="N73" s="131"/>
      <c r="O73" s="131"/>
      <c r="P73" s="131">
        <f>H72*34</f>
        <v>23.799999999999997</v>
      </c>
      <c r="Q73" s="131"/>
      <c r="R73" s="131"/>
      <c r="S73" s="131"/>
      <c r="T73" s="131"/>
    </row>
    <row r="74" spans="1:20" ht="15.95" hidden="1">
      <c r="A74" s="4" t="s">
        <v>2</v>
      </c>
      <c r="B74" s="30" t="s">
        <v>418</v>
      </c>
      <c r="C74" s="30" t="s">
        <v>451</v>
      </c>
      <c r="D74" s="30" t="s">
        <v>242</v>
      </c>
      <c r="E74" s="59">
        <v>250</v>
      </c>
      <c r="F74" s="125">
        <v>46203</v>
      </c>
      <c r="G74" s="30" t="s">
        <v>261</v>
      </c>
      <c r="H74" s="60">
        <v>0.5</v>
      </c>
      <c r="I74" s="141">
        <f>E74*H74</f>
        <v>125</v>
      </c>
      <c r="N74" s="4"/>
      <c r="O74" s="4"/>
      <c r="P74" s="4"/>
      <c r="Q74" s="4"/>
      <c r="R74" s="4"/>
      <c r="S74" s="4"/>
      <c r="T74" s="4"/>
    </row>
    <row r="75" spans="1:20" hidden="1">
      <c r="A75" s="131"/>
      <c r="B75" s="132"/>
      <c r="C75" s="132"/>
      <c r="D75" s="132"/>
      <c r="E75" s="133"/>
      <c r="F75" s="134"/>
      <c r="G75" s="132"/>
      <c r="H75" s="135"/>
      <c r="I75" s="136" t="s">
        <v>422</v>
      </c>
      <c r="K75"/>
      <c r="N75" s="131"/>
      <c r="O75" s="131"/>
      <c r="P75" s="131"/>
      <c r="Q75" s="131"/>
      <c r="R75" s="131"/>
      <c r="S75" s="131"/>
      <c r="T75" s="131"/>
    </row>
    <row r="76" spans="1:20" ht="15.95" hidden="1">
      <c r="A76" s="4" t="s">
        <v>2</v>
      </c>
      <c r="B76" s="30" t="s">
        <v>452</v>
      </c>
      <c r="C76" s="30" t="s">
        <v>343</v>
      </c>
      <c r="D76" s="30" t="s">
        <v>247</v>
      </c>
      <c r="E76" s="59">
        <v>19</v>
      </c>
      <c r="F76" s="125">
        <v>46203</v>
      </c>
      <c r="G76" s="30" t="s">
        <v>239</v>
      </c>
      <c r="H76" s="60">
        <v>0.9</v>
      </c>
      <c r="I76" s="141">
        <f>E76*H76</f>
        <v>17.100000000000001</v>
      </c>
      <c r="N76" s="4"/>
      <c r="O76" s="4"/>
      <c r="P76" s="4"/>
      <c r="Q76" s="4"/>
      <c r="R76" s="4"/>
      <c r="S76" s="4"/>
      <c r="T76" s="4"/>
    </row>
    <row r="77" spans="1:20" hidden="1">
      <c r="A77" s="131"/>
      <c r="B77" s="132"/>
      <c r="C77" s="132"/>
      <c r="D77" s="132"/>
      <c r="E77" s="133"/>
      <c r="F77" s="134"/>
      <c r="G77" s="132"/>
      <c r="H77" s="135"/>
      <c r="I77" s="136"/>
      <c r="K77"/>
      <c r="N77" s="131"/>
      <c r="O77" s="131"/>
      <c r="P77" s="131"/>
      <c r="Q77" s="131"/>
      <c r="R77" s="131"/>
      <c r="S77" s="131"/>
      <c r="T77" s="131"/>
    </row>
    <row r="78" spans="1:20" ht="15.95" hidden="1">
      <c r="A78" s="4" t="s">
        <v>2</v>
      </c>
      <c r="B78" s="30" t="s">
        <v>305</v>
      </c>
      <c r="C78" s="30" t="s">
        <v>237</v>
      </c>
      <c r="D78" s="30" t="s">
        <v>247</v>
      </c>
      <c r="E78" s="59">
        <v>50</v>
      </c>
      <c r="F78" s="125">
        <v>46203</v>
      </c>
      <c r="G78" s="30" t="s">
        <v>331</v>
      </c>
      <c r="H78" s="60">
        <v>0.7</v>
      </c>
      <c r="I78" s="141">
        <f>E78*H78*$M$1</f>
        <v>0</v>
      </c>
      <c r="K78"/>
      <c r="N78" s="4"/>
      <c r="O78" s="123">
        <f>I78/2</f>
        <v>0</v>
      </c>
      <c r="P78" s="4"/>
      <c r="Q78" s="4"/>
      <c r="R78" s="123">
        <f>O78</f>
        <v>0</v>
      </c>
      <c r="S78" s="4"/>
      <c r="T78" s="4"/>
    </row>
    <row r="79" spans="1:20" hidden="1">
      <c r="A79" s="131"/>
      <c r="B79" s="132"/>
      <c r="C79" s="132"/>
      <c r="D79" s="132"/>
      <c r="E79" s="133"/>
      <c r="F79" s="134"/>
      <c r="G79" s="132"/>
      <c r="H79" s="135"/>
      <c r="I79" s="136" t="s">
        <v>425</v>
      </c>
      <c r="K79"/>
      <c r="N79" s="131"/>
      <c r="O79" s="131"/>
      <c r="P79" s="131"/>
      <c r="Q79" s="131"/>
      <c r="R79" s="131"/>
      <c r="S79" s="131"/>
      <c r="T79" s="131"/>
    </row>
    <row r="80" spans="1:20" ht="15.95" hidden="1">
      <c r="A80" s="4" t="s">
        <v>2</v>
      </c>
      <c r="B80" s="30" t="s">
        <v>401</v>
      </c>
      <c r="C80" s="30" t="s">
        <v>402</v>
      </c>
      <c r="D80" s="30" t="s">
        <v>242</v>
      </c>
      <c r="E80" s="59">
        <v>4</v>
      </c>
      <c r="F80" s="125">
        <v>46203</v>
      </c>
      <c r="G80" s="30" t="s">
        <v>360</v>
      </c>
      <c r="H80" s="60">
        <v>0.3</v>
      </c>
      <c r="I80" s="141"/>
      <c r="K80"/>
      <c r="N80" s="161"/>
      <c r="O80" s="161"/>
      <c r="P80" s="160">
        <f>E80*H80*20%</f>
        <v>0.24</v>
      </c>
      <c r="Q80" s="160">
        <f>E80*H80*25%</f>
        <v>0.3</v>
      </c>
      <c r="R80" s="161"/>
      <c r="S80" s="161"/>
      <c r="T80" s="160">
        <f>E80*H80*50%</f>
        <v>0.6</v>
      </c>
    </row>
    <row r="81" spans="1:20" hidden="1">
      <c r="A81" s="131"/>
      <c r="B81" s="132"/>
      <c r="C81" s="132"/>
      <c r="D81" s="132"/>
      <c r="E81" s="133"/>
      <c r="F81" s="134"/>
      <c r="G81" s="132"/>
      <c r="H81" s="135"/>
      <c r="I81" s="136"/>
      <c r="K81"/>
      <c r="N81" s="131"/>
      <c r="O81" s="131"/>
      <c r="P81" s="163"/>
      <c r="Q81" s="163"/>
      <c r="R81" s="131"/>
      <c r="S81" s="131"/>
      <c r="T81" s="163"/>
    </row>
    <row r="82" spans="1:20" ht="15.95" hidden="1">
      <c r="A82" s="4" t="s">
        <v>2</v>
      </c>
      <c r="B82" s="30" t="s">
        <v>453</v>
      </c>
      <c r="C82" s="30" t="s">
        <v>269</v>
      </c>
      <c r="D82" s="30" t="s">
        <v>242</v>
      </c>
      <c r="E82" s="59">
        <v>30</v>
      </c>
      <c r="F82" s="125">
        <v>46203</v>
      </c>
      <c r="G82" s="30" t="s">
        <v>261</v>
      </c>
      <c r="H82" s="60">
        <v>0.5</v>
      </c>
      <c r="I82" s="141">
        <f>E82*H82</f>
        <v>15</v>
      </c>
    </row>
    <row r="83" spans="1:20" hidden="1">
      <c r="A83" s="131"/>
      <c r="B83" s="132"/>
      <c r="C83" s="132"/>
      <c r="D83" s="132"/>
      <c r="E83" s="133"/>
      <c r="F83" s="134"/>
      <c r="G83" s="132"/>
      <c r="H83" s="135"/>
      <c r="I83" s="136"/>
      <c r="K83"/>
      <c r="N83" s="131"/>
      <c r="O83" s="131"/>
      <c r="P83" s="131"/>
      <c r="Q83" s="131"/>
      <c r="R83" s="131"/>
      <c r="S83" s="131"/>
      <c r="T83" s="131"/>
    </row>
    <row r="84" spans="1:20" ht="15.95" hidden="1">
      <c r="A84" s="4" t="s">
        <v>2</v>
      </c>
      <c r="B84" s="30" t="s">
        <v>352</v>
      </c>
      <c r="C84" s="30" t="s">
        <v>353</v>
      </c>
      <c r="D84" s="30" t="s">
        <v>247</v>
      </c>
      <c r="E84" s="59">
        <v>22</v>
      </c>
      <c r="F84" s="125">
        <v>46203</v>
      </c>
      <c r="G84" s="30" t="s">
        <v>239</v>
      </c>
      <c r="H84" s="60">
        <v>0.5</v>
      </c>
      <c r="I84" s="141">
        <f>E84*H84</f>
        <v>11</v>
      </c>
    </row>
    <row r="85" spans="1:20" hidden="1">
      <c r="A85" s="131"/>
      <c r="B85" s="132"/>
      <c r="C85" s="132"/>
      <c r="D85" s="132"/>
      <c r="E85" s="133"/>
      <c r="F85" s="134"/>
      <c r="G85" s="132"/>
      <c r="H85" s="135"/>
      <c r="I85" s="136"/>
      <c r="K85"/>
      <c r="N85" s="131"/>
      <c r="O85" s="131"/>
      <c r="P85" s="131"/>
      <c r="Q85" s="131"/>
      <c r="R85" s="131"/>
      <c r="S85" s="131"/>
      <c r="T85" s="131"/>
    </row>
    <row r="86" spans="1:20" ht="15.95" hidden="1">
      <c r="A86" s="4" t="s">
        <v>2</v>
      </c>
      <c r="B86" s="30" t="s">
        <v>406</v>
      </c>
      <c r="C86" s="30" t="s">
        <v>405</v>
      </c>
      <c r="D86" s="30" t="s">
        <v>282</v>
      </c>
      <c r="E86" s="59">
        <v>7</v>
      </c>
      <c r="F86" s="125">
        <v>46203</v>
      </c>
      <c r="G86" s="30" t="s">
        <v>360</v>
      </c>
      <c r="H86" s="60">
        <v>0.6</v>
      </c>
      <c r="I86" s="141"/>
      <c r="K86"/>
      <c r="N86" s="162"/>
      <c r="O86" s="162"/>
      <c r="P86" s="162"/>
      <c r="Q86" s="162"/>
      <c r="R86" s="162"/>
      <c r="S86" s="162"/>
      <c r="T86" s="162"/>
    </row>
    <row r="87" spans="1:20" hidden="1">
      <c r="A87" s="131"/>
      <c r="B87" s="132"/>
      <c r="C87" s="132"/>
      <c r="D87" s="132"/>
      <c r="E87" s="133"/>
      <c r="F87" s="134"/>
      <c r="G87" s="132"/>
      <c r="H87" s="135"/>
      <c r="I87" s="136"/>
      <c r="K87"/>
      <c r="N87" s="131"/>
      <c r="O87" s="131"/>
      <c r="P87" s="131"/>
      <c r="Q87" s="131"/>
      <c r="R87" s="131"/>
      <c r="S87" s="131"/>
      <c r="T87" s="131"/>
    </row>
    <row r="88" spans="1:20" ht="15.95" hidden="1">
      <c r="A88" s="4" t="s">
        <v>2</v>
      </c>
      <c r="B88" s="30" t="s">
        <v>454</v>
      </c>
      <c r="C88" s="30" t="s">
        <v>455</v>
      </c>
      <c r="D88" s="30" t="s">
        <v>242</v>
      </c>
      <c r="E88" s="59">
        <v>17</v>
      </c>
      <c r="F88" s="125">
        <v>46203</v>
      </c>
      <c r="G88" s="30" t="s">
        <v>261</v>
      </c>
      <c r="H88" s="60">
        <v>0.15</v>
      </c>
      <c r="I88" s="141">
        <f>E88*H88</f>
        <v>2.5499999999999998</v>
      </c>
    </row>
    <row r="89" spans="1:20" hidden="1">
      <c r="A89" s="131"/>
      <c r="B89" s="132"/>
      <c r="C89" s="132"/>
      <c r="D89" s="132"/>
      <c r="E89" s="133"/>
      <c r="F89" s="134"/>
      <c r="G89" s="132"/>
      <c r="H89" s="135"/>
      <c r="I89" s="136"/>
      <c r="K89"/>
      <c r="N89" s="148"/>
      <c r="O89" s="148"/>
      <c r="P89" s="148"/>
      <c r="Q89" s="148"/>
      <c r="R89" s="148"/>
      <c r="S89" s="148"/>
      <c r="T89" s="148"/>
    </row>
    <row r="90" spans="1:20" ht="15.95" hidden="1">
      <c r="A90" s="4" t="s">
        <v>2</v>
      </c>
      <c r="B90" s="30" t="s">
        <v>271</v>
      </c>
      <c r="C90" s="30" t="s">
        <v>379</v>
      </c>
      <c r="D90" s="30" t="s">
        <v>242</v>
      </c>
      <c r="E90" s="59">
        <v>70</v>
      </c>
      <c r="F90" s="125">
        <v>46203</v>
      </c>
      <c r="G90" s="30" t="s">
        <v>261</v>
      </c>
      <c r="H90" s="60">
        <v>0.5</v>
      </c>
      <c r="I90" s="141">
        <f>E90*H90</f>
        <v>35</v>
      </c>
      <c r="N90" s="4"/>
      <c r="O90" s="4"/>
      <c r="P90" s="4"/>
      <c r="Q90" s="4"/>
      <c r="R90" s="4"/>
      <c r="S90" s="4"/>
      <c r="T90" s="4"/>
    </row>
    <row r="91" spans="1:20" hidden="1">
      <c r="A91" s="131"/>
      <c r="B91" s="132"/>
      <c r="C91" s="132"/>
      <c r="D91" s="132"/>
      <c r="E91" s="133"/>
      <c r="F91" s="134"/>
      <c r="G91" s="132"/>
      <c r="H91" s="135"/>
      <c r="I91" s="136" t="s">
        <v>422</v>
      </c>
      <c r="K91"/>
      <c r="N91" s="131"/>
      <c r="O91" s="131"/>
      <c r="P91" s="131"/>
      <c r="Q91" s="131"/>
      <c r="R91" s="131"/>
      <c r="S91" s="131"/>
      <c r="T91" s="131"/>
    </row>
    <row r="92" spans="1:20" ht="15.95" hidden="1">
      <c r="A92" s="4" t="s">
        <v>147</v>
      </c>
      <c r="B92" s="30" t="s">
        <v>411</v>
      </c>
      <c r="C92" s="30" t="s">
        <v>456</v>
      </c>
      <c r="D92" s="30" t="s">
        <v>247</v>
      </c>
      <c r="E92" s="59">
        <v>150</v>
      </c>
      <c r="F92" s="125">
        <v>46203</v>
      </c>
      <c r="G92" s="30" t="s">
        <v>360</v>
      </c>
      <c r="H92" s="60">
        <v>0.3</v>
      </c>
      <c r="I92" s="141"/>
      <c r="K92"/>
      <c r="N92" s="161"/>
      <c r="O92" s="161"/>
      <c r="P92" s="161"/>
      <c r="Q92" s="161"/>
      <c r="R92" s="161"/>
      <c r="S92" s="161"/>
      <c r="T92" s="161"/>
    </row>
    <row r="93" spans="1:20" hidden="1">
      <c r="A93" s="131"/>
      <c r="B93" s="132"/>
      <c r="C93" s="132"/>
      <c r="D93" s="132"/>
      <c r="E93" s="133"/>
      <c r="F93" s="134"/>
      <c r="G93" s="132"/>
      <c r="H93" s="135"/>
      <c r="I93" s="136"/>
      <c r="K93"/>
      <c r="N93" s="131"/>
      <c r="O93" s="131"/>
      <c r="P93" s="131"/>
      <c r="Q93" s="131"/>
      <c r="R93" s="131"/>
      <c r="S93" s="131"/>
      <c r="T93" s="131"/>
    </row>
    <row r="94" spans="1:20" ht="15.95" hidden="1">
      <c r="A94" s="4" t="s">
        <v>21</v>
      </c>
      <c r="B94" s="30" t="s">
        <v>457</v>
      </c>
      <c r="C94" s="30" t="s">
        <v>356</v>
      </c>
      <c r="D94" s="30" t="s">
        <v>238</v>
      </c>
      <c r="E94" s="31">
        <v>50</v>
      </c>
      <c r="F94" s="125">
        <v>46203</v>
      </c>
      <c r="G94" s="30" t="s">
        <v>331</v>
      </c>
      <c r="H94" s="33">
        <v>0.6</v>
      </c>
      <c r="I94" s="141">
        <f>E94*H94*$M$1</f>
        <v>0</v>
      </c>
      <c r="K94"/>
      <c r="N94" s="4"/>
      <c r="O94" s="4"/>
      <c r="P94" s="4"/>
      <c r="Q94" s="4"/>
      <c r="R94" s="4"/>
      <c r="S94" s="4"/>
      <c r="T94" s="4"/>
    </row>
    <row r="95" spans="1:20" hidden="1">
      <c r="A95" s="131"/>
      <c r="B95" s="132"/>
      <c r="C95" s="132"/>
      <c r="D95" s="132"/>
      <c r="E95" s="133"/>
      <c r="F95" s="134"/>
      <c r="G95" s="132"/>
      <c r="H95" s="135"/>
      <c r="I95" s="136" t="s">
        <v>425</v>
      </c>
      <c r="K95"/>
      <c r="N95" s="137"/>
      <c r="O95" s="137"/>
      <c r="P95" s="137"/>
      <c r="Q95" s="137"/>
      <c r="R95" s="137"/>
      <c r="S95" s="137"/>
      <c r="T95" s="137"/>
    </row>
    <row r="96" spans="1:20" ht="15.95" hidden="1">
      <c r="A96" s="4" t="s">
        <v>21</v>
      </c>
      <c r="B96" s="30" t="s">
        <v>458</v>
      </c>
      <c r="C96" s="30" t="s">
        <v>356</v>
      </c>
      <c r="D96" s="30" t="s">
        <v>238</v>
      </c>
      <c r="E96" s="59">
        <v>80</v>
      </c>
      <c r="F96" s="125">
        <v>46203</v>
      </c>
      <c r="G96" s="30" t="s">
        <v>331</v>
      </c>
      <c r="H96" s="60">
        <v>0.6</v>
      </c>
      <c r="I96" s="141">
        <f>E96*H96*$M$1</f>
        <v>0</v>
      </c>
      <c r="K96"/>
      <c r="N96" s="110"/>
      <c r="O96" s="110"/>
      <c r="P96" s="110"/>
      <c r="Q96" s="110"/>
      <c r="R96" s="110"/>
      <c r="S96" s="110"/>
      <c r="T96" s="110"/>
    </row>
    <row r="97" spans="1:21" hidden="1">
      <c r="A97" s="131"/>
      <c r="B97" s="132"/>
      <c r="C97" s="132"/>
      <c r="D97" s="132"/>
      <c r="E97" s="133"/>
      <c r="F97" s="134"/>
      <c r="G97" s="132"/>
      <c r="H97" s="135"/>
      <c r="I97" s="136" t="s">
        <v>425</v>
      </c>
      <c r="K97"/>
      <c r="N97" s="131"/>
      <c r="O97" s="131"/>
      <c r="P97" s="131"/>
      <c r="Q97" s="131"/>
      <c r="R97" s="131"/>
      <c r="S97" s="131"/>
      <c r="T97" s="131"/>
    </row>
    <row r="98" spans="1:21" ht="15.95" hidden="1">
      <c r="A98" s="4" t="s">
        <v>21</v>
      </c>
      <c r="B98" s="30" t="s">
        <v>413</v>
      </c>
      <c r="C98" s="30" t="s">
        <v>459</v>
      </c>
      <c r="D98" s="30" t="s">
        <v>238</v>
      </c>
      <c r="E98" s="59">
        <v>30</v>
      </c>
      <c r="F98" s="125">
        <v>46203</v>
      </c>
      <c r="G98" s="30" t="s">
        <v>261</v>
      </c>
      <c r="H98" s="60">
        <v>0.1</v>
      </c>
      <c r="I98" s="141">
        <f>E98*H98</f>
        <v>3</v>
      </c>
    </row>
    <row r="99" spans="1:21" hidden="1">
      <c r="A99" s="131"/>
      <c r="B99" s="132"/>
      <c r="C99" s="132"/>
      <c r="D99" s="132"/>
      <c r="E99" s="133"/>
      <c r="F99" s="134"/>
      <c r="G99" s="132"/>
      <c r="H99" s="135"/>
      <c r="I99" s="136"/>
      <c r="K99"/>
      <c r="N99" s="131"/>
      <c r="O99" s="131"/>
      <c r="P99" s="131"/>
      <c r="Q99" s="131"/>
      <c r="R99" s="131"/>
      <c r="S99" s="131"/>
      <c r="T99" s="131"/>
    </row>
    <row r="101" spans="1:21">
      <c r="G101" s="256" t="s">
        <v>460</v>
      </c>
      <c r="H101" s="92" t="s">
        <v>6</v>
      </c>
      <c r="I101" s="93">
        <f>'Proyección Q2 (Abril)'!I133</f>
        <v>436.99999999999994</v>
      </c>
      <c r="J101" s="96">
        <f>Panel!F119</f>
        <v>79.453999999999994</v>
      </c>
      <c r="K101" s="90">
        <f>J101-I101</f>
        <v>-357.54599999999994</v>
      </c>
      <c r="N101" s="167">
        <f>(N2+N6+N8+N10+N18+N20+N32+N36+N40+N42+N44+N48+N50+N54+N56+N58+N62+N64+N70+N72+N74+N78+N90+N94+N96)*1000000</f>
        <v>102880800</v>
      </c>
      <c r="O101" s="167">
        <f t="shared" ref="O101:T101" si="2">(O2+O6+O8+O10+O18+O20+O32+O36+O40+O42+O44+O48+O50+O54+O56+O58+O62+O64+O70+O72+O74+O78+O90+O94+O96)*1000000</f>
        <v>83890000</v>
      </c>
      <c r="P101" s="167">
        <f t="shared" si="2"/>
        <v>115838000.00000001</v>
      </c>
      <c r="Q101" s="167">
        <f t="shared" si="2"/>
        <v>24341200</v>
      </c>
      <c r="R101" s="167">
        <f t="shared" si="2"/>
        <v>45300000</v>
      </c>
      <c r="S101" s="167">
        <f t="shared" si="2"/>
        <v>109950000</v>
      </c>
      <c r="T101" s="167">
        <f t="shared" si="2"/>
        <v>91700000</v>
      </c>
      <c r="U101" s="175">
        <f>SUM(N101:T101)</f>
        <v>573900000</v>
      </c>
    </row>
    <row r="102" spans="1:21">
      <c r="G102" s="257"/>
      <c r="H102" s="92" t="s">
        <v>7</v>
      </c>
      <c r="I102" s="93">
        <f>SUM(I2:I44)</f>
        <v>832.3</v>
      </c>
      <c r="J102" s="96">
        <f>Panel!F136</f>
        <v>535.82399999999996</v>
      </c>
      <c r="K102" s="90">
        <f>J102-I102</f>
        <v>-296.476</v>
      </c>
      <c r="N102" s="163">
        <f>(N3+N7+N9+N11+N19+N21+N33+N37+N41+N43+N45+N49+N51+N55+N57+N59+N63+N65+N71+N73+N75+N79+N91+N95+N97)*1000000</f>
        <v>2029999.9999999998</v>
      </c>
      <c r="O102" s="163">
        <f t="shared" ref="O102:T102" si="3">(O3+O7+O9+O11+O19+O21+O33+O37+O41+O43+O45+O49+O51+O55+O57+O59+O63+O65+O71+O73+O75+O79+O91+O95+O97)*1000000</f>
        <v>2910000</v>
      </c>
      <c r="P102" s="163">
        <f t="shared" si="3"/>
        <v>46750000</v>
      </c>
      <c r="Q102" s="163">
        <f t="shared" si="3"/>
        <v>25630000</v>
      </c>
      <c r="R102" s="163">
        <f t="shared" si="3"/>
        <v>64009999.999999993</v>
      </c>
      <c r="S102" s="163">
        <f t="shared" si="3"/>
        <v>87370000</v>
      </c>
      <c r="T102" s="163">
        <f t="shared" si="3"/>
        <v>34640000</v>
      </c>
      <c r="U102" s="175">
        <f>SUM(N102:T102)</f>
        <v>263340000</v>
      </c>
    </row>
    <row r="103" spans="1:21">
      <c r="G103" s="257"/>
      <c r="H103" s="92" t="s">
        <v>8</v>
      </c>
      <c r="I103" s="93">
        <f>SUM(I46:I98)</f>
        <v>594.07499999999993</v>
      </c>
    </row>
    <row r="105" spans="1:21" hidden="1">
      <c r="A105" s="110" t="s">
        <v>2</v>
      </c>
      <c r="B105" s="110" t="s">
        <v>327</v>
      </c>
      <c r="C105" s="110" t="s">
        <v>332</v>
      </c>
      <c r="D105" s="110" t="s">
        <v>282</v>
      </c>
      <c r="E105" s="110">
        <v>42</v>
      </c>
      <c r="F105" s="112" t="s">
        <v>7</v>
      </c>
      <c r="G105" s="110" t="s">
        <v>261</v>
      </c>
      <c r="H105" s="111">
        <v>0.9</v>
      </c>
      <c r="I105" s="110">
        <f>E105*H105</f>
        <v>37.800000000000004</v>
      </c>
      <c r="J105" s="46"/>
      <c r="N105" s="93">
        <f>I105*20%</f>
        <v>7.5600000000000014</v>
      </c>
      <c r="O105" s="93">
        <f>I105*25%</f>
        <v>9.4500000000000011</v>
      </c>
      <c r="P105" s="93"/>
      <c r="Q105" s="93"/>
      <c r="R105" s="93">
        <f>I105*50%</f>
        <v>18.900000000000002</v>
      </c>
      <c r="S105" s="93">
        <f>I105*5%</f>
        <v>1.8900000000000003</v>
      </c>
      <c r="T105" s="4"/>
    </row>
    <row r="106" spans="1:21" hidden="1">
      <c r="A106" s="131"/>
      <c r="B106" s="132"/>
      <c r="C106" s="132"/>
      <c r="D106" s="132"/>
      <c r="E106" s="133"/>
      <c r="F106" s="134"/>
      <c r="G106" s="132"/>
      <c r="H106" s="135"/>
      <c r="I106" s="136"/>
      <c r="N106" s="139"/>
      <c r="O106" s="139">
        <f>0.9*H105</f>
        <v>0.81</v>
      </c>
      <c r="P106" s="139"/>
      <c r="Q106" s="139"/>
      <c r="R106" s="168">
        <f>H105*7</f>
        <v>6.3</v>
      </c>
      <c r="S106" s="168">
        <f>H105*10</f>
        <v>9</v>
      </c>
      <c r="T106" s="168"/>
    </row>
    <row r="107" spans="1:21" ht="15.95" hidden="1">
      <c r="A107" s="4" t="s">
        <v>2</v>
      </c>
      <c r="B107" s="30" t="s">
        <v>418</v>
      </c>
      <c r="C107" s="30" t="s">
        <v>200</v>
      </c>
      <c r="D107" s="30" t="s">
        <v>417</v>
      </c>
      <c r="E107" s="31">
        <v>237</v>
      </c>
      <c r="F107" s="125">
        <v>46203</v>
      </c>
      <c r="G107" s="30" t="s">
        <v>261</v>
      </c>
      <c r="H107" s="33">
        <v>0.5</v>
      </c>
      <c r="I107" s="93">
        <f>E107*H107</f>
        <v>118.5</v>
      </c>
      <c r="N107" s="127"/>
      <c r="O107" s="127"/>
      <c r="P107" s="127">
        <f>I107*10%</f>
        <v>11.850000000000001</v>
      </c>
      <c r="Q107" s="127">
        <f>I107*15%</f>
        <v>17.774999999999999</v>
      </c>
      <c r="R107" s="127">
        <f>I107*20%</f>
        <v>23.700000000000003</v>
      </c>
      <c r="S107" s="127"/>
      <c r="T107" s="127">
        <f>I107*20%</f>
        <v>23.700000000000003</v>
      </c>
    </row>
    <row r="108" spans="1:21" hidden="1">
      <c r="A108" s="131"/>
      <c r="B108" s="132"/>
      <c r="C108" s="132"/>
      <c r="D108" s="132"/>
      <c r="E108" s="133"/>
      <c r="F108" s="134"/>
      <c r="G108" s="132"/>
      <c r="H108" s="135"/>
      <c r="I108" s="136"/>
      <c r="N108" s="139"/>
      <c r="O108" s="139">
        <f>1.4*H107</f>
        <v>0.7</v>
      </c>
      <c r="P108" s="139">
        <f>H107*2.6</f>
        <v>1.3</v>
      </c>
      <c r="Q108" s="139"/>
      <c r="R108" s="139">
        <f>21.5*H107</f>
        <v>10.75</v>
      </c>
      <c r="S108" s="139">
        <f>3.8*H107</f>
        <v>1.9</v>
      </c>
      <c r="T108" s="139">
        <f>H107*43.5</f>
        <v>21.75</v>
      </c>
    </row>
    <row r="109" spans="1:21" ht="15.95" hidden="1">
      <c r="A109" s="4" t="s">
        <v>309</v>
      </c>
      <c r="B109" s="30" t="s">
        <v>419</v>
      </c>
      <c r="C109" s="30" t="s">
        <v>334</v>
      </c>
      <c r="D109" s="30" t="s">
        <v>417</v>
      </c>
      <c r="E109" s="31">
        <v>94</v>
      </c>
      <c r="F109" s="125">
        <v>46264</v>
      </c>
      <c r="G109" s="110" t="s">
        <v>331</v>
      </c>
      <c r="H109" s="33">
        <v>0</v>
      </c>
      <c r="I109" s="93">
        <f>E109*H109</f>
        <v>0</v>
      </c>
      <c r="N109" s="127"/>
      <c r="O109" s="127"/>
      <c r="P109" s="127"/>
      <c r="Q109" s="127"/>
      <c r="R109" s="127">
        <f>E109*H109*70%*35%</f>
        <v>0</v>
      </c>
      <c r="S109" s="127">
        <f>65%*20%*E109*H109</f>
        <v>0</v>
      </c>
      <c r="T109" s="127">
        <f>E109*H109*65%*25%</f>
        <v>0</v>
      </c>
    </row>
    <row r="110" spans="1:21" hidden="1">
      <c r="A110" s="131"/>
      <c r="B110" s="132"/>
      <c r="C110" s="132"/>
      <c r="D110" s="132"/>
      <c r="E110" s="133"/>
      <c r="F110" s="134"/>
      <c r="G110" s="132"/>
      <c r="H110" s="135"/>
      <c r="I110" s="136"/>
      <c r="N110" s="139"/>
      <c r="O110" s="139"/>
      <c r="P110" s="139"/>
      <c r="Q110" s="139"/>
      <c r="R110" s="139">
        <f>H109*0.3</f>
        <v>0</v>
      </c>
      <c r="S110" s="139">
        <f>R110</f>
        <v>0</v>
      </c>
      <c r="T110" s="139">
        <f>S110</f>
        <v>0</v>
      </c>
    </row>
    <row r="111" spans="1:21">
      <c r="N111" s="127">
        <f t="shared" ref="N111:T111" si="4">N2+N6+N8+N10+N18+N20+N32+N36+N40+N42+N44+N48+N50+N54+N56+N58+N62+N64+N70+N72+N74+N78+N90+N94+N96</f>
        <v>102.88079999999999</v>
      </c>
      <c r="O111" s="127">
        <f t="shared" si="4"/>
        <v>83.89</v>
      </c>
      <c r="P111" s="127">
        <f t="shared" si="4"/>
        <v>115.83800000000001</v>
      </c>
      <c r="Q111" s="127">
        <f t="shared" si="4"/>
        <v>24.341200000000001</v>
      </c>
      <c r="R111" s="127">
        <f t="shared" si="4"/>
        <v>45.3</v>
      </c>
      <c r="S111" s="127">
        <f t="shared" si="4"/>
        <v>109.95</v>
      </c>
      <c r="T111" s="127">
        <f t="shared" si="4"/>
        <v>91.7</v>
      </c>
    </row>
    <row r="113" spans="14:23">
      <c r="N113" s="127">
        <f>(N105+N107+N109)*1000000</f>
        <v>7560000.0000000009</v>
      </c>
      <c r="O113" s="127">
        <f t="shared" ref="O113:T114" si="5">(O105+O107+O109)*1000000</f>
        <v>9450000.0000000019</v>
      </c>
      <c r="P113" s="127">
        <f t="shared" si="5"/>
        <v>11850000.000000002</v>
      </c>
      <c r="Q113" s="127">
        <f t="shared" si="5"/>
        <v>17775000</v>
      </c>
      <c r="R113" s="127">
        <f t="shared" si="5"/>
        <v>42600000.000000007</v>
      </c>
      <c r="S113" s="127">
        <f t="shared" si="5"/>
        <v>1890000.0000000002</v>
      </c>
      <c r="T113" s="127">
        <f t="shared" si="5"/>
        <v>23700000.000000004</v>
      </c>
      <c r="U113" s="175">
        <f>SUM(N113:T113)</f>
        <v>114825000.00000001</v>
      </c>
    </row>
    <row r="114" spans="14:23">
      <c r="N114" s="163">
        <f>(N106+N108+N110)*1000000</f>
        <v>0</v>
      </c>
      <c r="O114" s="163">
        <f t="shared" si="5"/>
        <v>1510000</v>
      </c>
      <c r="P114" s="163">
        <f t="shared" si="5"/>
        <v>1300000</v>
      </c>
      <c r="Q114" s="163">
        <f t="shared" si="5"/>
        <v>0</v>
      </c>
      <c r="R114" s="163">
        <f t="shared" si="5"/>
        <v>17050000</v>
      </c>
      <c r="S114" s="163">
        <f t="shared" si="5"/>
        <v>10900000</v>
      </c>
      <c r="T114" s="163">
        <f t="shared" si="5"/>
        <v>21750000</v>
      </c>
      <c r="U114" s="175">
        <f>SUM(N114:T114)</f>
        <v>52510000</v>
      </c>
    </row>
    <row r="116" spans="14:23" ht="15.95" thickBot="1">
      <c r="N116" s="63" t="s">
        <v>24</v>
      </c>
    </row>
    <row r="117" spans="14:23">
      <c r="N117" s="169">
        <f t="shared" ref="N117:T118" si="6">N101+N113</f>
        <v>110440800</v>
      </c>
      <c r="O117" s="170">
        <f t="shared" si="6"/>
        <v>93340000</v>
      </c>
      <c r="P117" s="170">
        <f t="shared" si="6"/>
        <v>127688000.00000001</v>
      </c>
      <c r="Q117" s="170">
        <f t="shared" si="6"/>
        <v>42116200</v>
      </c>
      <c r="R117" s="170">
        <f t="shared" si="6"/>
        <v>87900000</v>
      </c>
      <c r="S117" s="170">
        <f t="shared" si="6"/>
        <v>111840000</v>
      </c>
      <c r="T117" s="171">
        <f t="shared" si="6"/>
        <v>115400000</v>
      </c>
      <c r="U117" s="51">
        <f>SUM(N117:R117)</f>
        <v>461485000</v>
      </c>
      <c r="W117" s="175">
        <f>SUM(N117:S117)</f>
        <v>573325000</v>
      </c>
    </row>
    <row r="118" spans="14:23" ht="15.95" thickBot="1">
      <c r="N118" s="172">
        <f t="shared" si="6"/>
        <v>2029999.9999999998</v>
      </c>
      <c r="O118" s="173">
        <f t="shared" si="6"/>
        <v>4420000</v>
      </c>
      <c r="P118" s="173">
        <f t="shared" si="6"/>
        <v>48050000</v>
      </c>
      <c r="Q118" s="173">
        <f t="shared" si="6"/>
        <v>25630000</v>
      </c>
      <c r="R118" s="173">
        <f t="shared" si="6"/>
        <v>81060000</v>
      </c>
      <c r="S118" s="173">
        <f t="shared" si="6"/>
        <v>98270000</v>
      </c>
      <c r="T118" s="174">
        <f t="shared" si="6"/>
        <v>56390000</v>
      </c>
      <c r="U118" s="51">
        <f>SUM(N118:S118)</f>
        <v>259460000</v>
      </c>
      <c r="W118" s="175">
        <f>SUM(N118:S118)</f>
        <v>259460000</v>
      </c>
    </row>
    <row r="119" spans="14:23">
      <c r="U119" s="175">
        <f>U117-U118</f>
        <v>202025000</v>
      </c>
      <c r="W119" s="35">
        <f>W118/W117</f>
        <v>0.45255308943443945</v>
      </c>
    </row>
  </sheetData>
  <autoFilter ref="A1:I99" xr:uid="{5CF00BC1-F119-6645-A5E6-E8453C55E48C}">
    <filterColumn colId="5">
      <filters>
        <dateGroupItem year="2026" month="5" dateTimeGrouping="month"/>
      </filters>
    </filterColumn>
    <filterColumn colId="6">
      <filters>
        <filter val="Cierre"/>
        <filter val="Cierre 60% (CT Cubierto)"/>
        <filter val="Cierre 70% (Preferencia)"/>
        <filter val="Cierre 90% (Adjudicación Verbal)"/>
      </filters>
    </filterColumn>
  </autoFilter>
  <mergeCells count="1">
    <mergeCell ref="G101:G103"/>
  </mergeCells>
  <conditionalFormatting sqref="K2">
    <cfRule type="cellIs" dxfId="12" priority="6" operator="equal">
      <formula>"OC"</formula>
    </cfRule>
  </conditionalFormatting>
  <conditionalFormatting sqref="K6">
    <cfRule type="cellIs" dxfId="11" priority="5" operator="equal">
      <formula>"OC"</formula>
    </cfRule>
  </conditionalFormatting>
  <conditionalFormatting sqref="K8">
    <cfRule type="cellIs" dxfId="10" priority="4" operator="equal">
      <formula>"Perdido"</formula>
    </cfRule>
  </conditionalFormatting>
  <conditionalFormatting sqref="K14">
    <cfRule type="cellIs" dxfId="9" priority="2" operator="equal">
      <formula>"OC"</formula>
    </cfRule>
  </conditionalFormatting>
  <conditionalFormatting sqref="K36">
    <cfRule type="cellIs" dxfId="8" priority="3" operator="equal">
      <formula>"Perdido"</formula>
    </cfRule>
  </conditionalFormatting>
  <conditionalFormatting sqref="K38">
    <cfRule type="cellIs" dxfId="7" priority="1" operator="equal">
      <formula>"OC"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B100-62FD-8746-97AF-E0E58B912333}">
  <sheetPr filterMode="1"/>
  <dimension ref="A1:W84"/>
  <sheetViews>
    <sheetView showGridLines="0" zoomScale="110" zoomScaleNormal="110" workbookViewId="0">
      <pane xSplit="2" ySplit="1" topLeftCell="D14" activePane="bottomRight" state="frozen"/>
      <selection pane="bottomRight" activeCell="A65" sqref="A65"/>
      <selection pane="bottomLeft" activeCell="A2" sqref="A2"/>
      <selection pane="topRight" activeCell="C1" sqref="C1"/>
    </sheetView>
  </sheetViews>
  <sheetFormatPr defaultColWidth="11.42578125" defaultRowHeight="15"/>
  <cols>
    <col min="2" max="2" width="47.42578125" customWidth="1"/>
    <col min="3" max="3" width="45.42578125" customWidth="1"/>
    <col min="4" max="4" width="21.85546875" customWidth="1"/>
    <col min="5" max="5" width="15" style="34" bestFit="1" customWidth="1"/>
    <col min="6" max="6" width="13.42578125" bestFit="1" customWidth="1"/>
    <col min="7" max="7" width="29.140625" customWidth="1"/>
    <col min="8" max="8" width="11.42578125" style="35"/>
    <col min="9" max="9" width="15.140625" style="34" customWidth="1"/>
    <col min="11" max="11" width="17.28515625" style="46" bestFit="1" customWidth="1"/>
    <col min="14" max="16" width="15.85546875" customWidth="1"/>
    <col min="17" max="17" width="14.7109375" customWidth="1"/>
    <col min="18" max="18" width="14.42578125" customWidth="1"/>
    <col min="19" max="19" width="15.85546875" customWidth="1"/>
    <col min="20" max="20" width="14.7109375" customWidth="1"/>
    <col min="21" max="21" width="14.42578125" customWidth="1"/>
    <col min="22" max="22" width="11.42578125" customWidth="1"/>
    <col min="23" max="23" width="14.140625" customWidth="1"/>
  </cols>
  <sheetData>
    <row r="1" spans="1:20">
      <c r="A1" s="27" t="s">
        <v>34</v>
      </c>
      <c r="B1" s="27" t="s">
        <v>228</v>
      </c>
      <c r="C1" s="27" t="s">
        <v>26</v>
      </c>
      <c r="D1" s="27" t="s">
        <v>229</v>
      </c>
      <c r="E1" s="28" t="s">
        <v>230</v>
      </c>
      <c r="F1" s="27" t="s">
        <v>231</v>
      </c>
      <c r="G1" s="27" t="s">
        <v>232</v>
      </c>
      <c r="H1" s="29" t="s">
        <v>233</v>
      </c>
      <c r="I1" s="28" t="s">
        <v>234</v>
      </c>
      <c r="K1" s="114" t="s">
        <v>461</v>
      </c>
      <c r="M1">
        <v>0</v>
      </c>
      <c r="N1" s="138" t="s">
        <v>10</v>
      </c>
      <c r="O1" s="138" t="s">
        <v>11</v>
      </c>
      <c r="P1" s="138" t="s">
        <v>12</v>
      </c>
      <c r="Q1" s="138" t="s">
        <v>13</v>
      </c>
      <c r="R1" s="138" t="s">
        <v>14</v>
      </c>
      <c r="S1" s="165">
        <v>46388</v>
      </c>
      <c r="T1" s="165">
        <v>46419</v>
      </c>
    </row>
    <row r="2" spans="1:20" ht="15.95">
      <c r="A2" s="4" t="s">
        <v>2</v>
      </c>
      <c r="B2" s="30" t="s">
        <v>345</v>
      </c>
      <c r="C2" s="182" t="s">
        <v>330</v>
      </c>
      <c r="D2" s="30" t="s">
        <v>417</v>
      </c>
      <c r="E2" s="59">
        <v>75</v>
      </c>
      <c r="F2" s="125">
        <v>46203</v>
      </c>
      <c r="G2" s="30" t="s">
        <v>244</v>
      </c>
      <c r="H2" s="60">
        <v>1</v>
      </c>
      <c r="I2" s="141">
        <f>E2*H2</f>
        <v>75</v>
      </c>
      <c r="K2" s="89" t="s">
        <v>244</v>
      </c>
      <c r="N2" s="4"/>
      <c r="O2" s="4"/>
      <c r="P2" s="4"/>
      <c r="Q2" s="4"/>
      <c r="R2" s="4"/>
      <c r="S2" s="4"/>
      <c r="T2" s="4"/>
    </row>
    <row r="3" spans="1:20" hidden="1">
      <c r="A3" s="131"/>
      <c r="B3" s="132"/>
      <c r="C3" s="198"/>
      <c r="D3" s="132"/>
      <c r="E3" s="133"/>
      <c r="F3" s="134"/>
      <c r="G3" s="132"/>
      <c r="H3" s="135"/>
      <c r="I3" s="136"/>
      <c r="K3"/>
      <c r="N3" s="131"/>
      <c r="O3" s="131"/>
      <c r="P3" s="131"/>
      <c r="Q3" s="131"/>
      <c r="R3" s="131"/>
      <c r="S3" s="131"/>
      <c r="T3" s="131"/>
    </row>
    <row r="4" spans="1:20" ht="15.95">
      <c r="A4" s="4" t="s">
        <v>2</v>
      </c>
      <c r="B4" s="30" t="s">
        <v>462</v>
      </c>
      <c r="C4" s="182" t="s">
        <v>463</v>
      </c>
      <c r="D4" s="30" t="s">
        <v>247</v>
      </c>
      <c r="E4" s="59">
        <v>13</v>
      </c>
      <c r="F4" s="125">
        <v>46203</v>
      </c>
      <c r="G4" s="30" t="s">
        <v>261</v>
      </c>
      <c r="H4" s="60">
        <v>0.7</v>
      </c>
      <c r="I4" s="141">
        <f>E4*H4</f>
        <v>9.1</v>
      </c>
      <c r="K4" s="89" t="s">
        <v>428</v>
      </c>
      <c r="N4" s="4"/>
      <c r="O4" s="4"/>
      <c r="P4" s="4"/>
      <c r="Q4" s="4"/>
      <c r="R4" s="4"/>
      <c r="S4" s="4"/>
      <c r="T4" s="4"/>
    </row>
    <row r="5" spans="1:20" hidden="1">
      <c r="A5" s="131"/>
      <c r="B5" s="132"/>
      <c r="C5" s="198"/>
      <c r="D5" s="132"/>
      <c r="E5" s="133"/>
      <c r="F5" s="134"/>
      <c r="G5" s="132"/>
      <c r="H5" s="135"/>
      <c r="I5" s="136"/>
      <c r="K5"/>
      <c r="N5" s="131"/>
      <c r="O5" s="131"/>
      <c r="P5" s="131"/>
      <c r="Q5" s="131"/>
      <c r="R5" s="131"/>
      <c r="S5" s="131"/>
      <c r="T5" s="131"/>
    </row>
    <row r="6" spans="1:20" ht="15.95">
      <c r="A6" s="4" t="s">
        <v>2</v>
      </c>
      <c r="B6" s="30" t="s">
        <v>394</v>
      </c>
      <c r="C6" s="182" t="s">
        <v>366</v>
      </c>
      <c r="D6" s="30" t="s">
        <v>282</v>
      </c>
      <c r="E6" s="59">
        <v>122</v>
      </c>
      <c r="F6" s="125">
        <v>46203</v>
      </c>
      <c r="G6" s="30" t="s">
        <v>243</v>
      </c>
      <c r="H6" s="60">
        <v>0.9</v>
      </c>
      <c r="I6" s="141">
        <f>E6*H6</f>
        <v>109.8</v>
      </c>
      <c r="K6" s="89" t="s">
        <v>428</v>
      </c>
      <c r="N6" s="123">
        <f>I6*10%</f>
        <v>10.98</v>
      </c>
      <c r="O6" s="123">
        <f>I6*10%</f>
        <v>10.98</v>
      </c>
      <c r="P6" s="123">
        <f>I6*15%</f>
        <v>16.47</v>
      </c>
      <c r="Q6" s="4"/>
      <c r="R6" s="123">
        <f>I6*40%</f>
        <v>43.92</v>
      </c>
      <c r="S6" s="123">
        <f>I6*15%</f>
        <v>16.47</v>
      </c>
      <c r="T6" s="123">
        <f>I6*10%</f>
        <v>10.98</v>
      </c>
    </row>
    <row r="7" spans="1:20" hidden="1">
      <c r="A7" s="131"/>
      <c r="B7" s="132"/>
      <c r="C7" s="198"/>
      <c r="D7" s="132"/>
      <c r="E7" s="133"/>
      <c r="F7" s="134"/>
      <c r="G7" s="132"/>
      <c r="H7" s="135"/>
      <c r="I7" s="136"/>
      <c r="K7"/>
      <c r="N7" s="131"/>
      <c r="O7" s="131">
        <f>1.6*H6</f>
        <v>1.4400000000000002</v>
      </c>
      <c r="P7" s="131"/>
      <c r="Q7" s="131"/>
      <c r="R7" s="131">
        <f>19.8*H6</f>
        <v>17.82</v>
      </c>
      <c r="S7" s="131">
        <f>34.6*H6</f>
        <v>31.14</v>
      </c>
      <c r="T7" s="131">
        <f>H6*14.6</f>
        <v>13.14</v>
      </c>
    </row>
    <row r="8" spans="1:20" ht="15.95" hidden="1">
      <c r="A8" s="4" t="s">
        <v>2</v>
      </c>
      <c r="B8" s="30" t="s">
        <v>365</v>
      </c>
      <c r="C8" s="182" t="s">
        <v>366</v>
      </c>
      <c r="D8" s="30" t="s">
        <v>282</v>
      </c>
      <c r="E8" s="59">
        <v>70</v>
      </c>
      <c r="F8" s="125">
        <v>46203</v>
      </c>
      <c r="G8" s="30" t="s">
        <v>331</v>
      </c>
      <c r="H8" s="60">
        <v>0.3</v>
      </c>
      <c r="I8" s="141">
        <f>E8*H8*$M$1</f>
        <v>0</v>
      </c>
      <c r="K8"/>
      <c r="N8" s="123"/>
      <c r="O8" s="123"/>
      <c r="P8" s="123"/>
      <c r="Q8" s="123"/>
      <c r="R8" s="123"/>
      <c r="S8" s="4"/>
      <c r="T8" s="4"/>
    </row>
    <row r="9" spans="1:20" hidden="1">
      <c r="A9" s="131"/>
      <c r="B9" s="132"/>
      <c r="C9" s="198"/>
      <c r="D9" s="132"/>
      <c r="E9" s="133"/>
      <c r="F9" s="134"/>
      <c r="G9" s="132"/>
      <c r="H9" s="135"/>
      <c r="I9" s="136"/>
      <c r="K9"/>
      <c r="N9" s="131"/>
      <c r="O9" s="131"/>
      <c r="P9" s="131"/>
      <c r="Q9" s="131"/>
      <c r="R9" s="131"/>
      <c r="S9" s="131"/>
      <c r="T9" s="131"/>
    </row>
    <row r="10" spans="1:20" ht="15.95" hidden="1">
      <c r="A10" s="4" t="s">
        <v>2</v>
      </c>
      <c r="B10" s="30" t="s">
        <v>342</v>
      </c>
      <c r="C10" s="182" t="s">
        <v>448</v>
      </c>
      <c r="D10" s="30" t="s">
        <v>282</v>
      </c>
      <c r="E10" s="59">
        <v>5</v>
      </c>
      <c r="F10" s="125">
        <v>46203</v>
      </c>
      <c r="G10" s="30" t="s">
        <v>331</v>
      </c>
      <c r="H10" s="60">
        <v>0.9</v>
      </c>
      <c r="I10" s="141">
        <f>E10*H10*$M$1</f>
        <v>0</v>
      </c>
      <c r="K10"/>
      <c r="N10" s="123"/>
      <c r="O10" s="123"/>
      <c r="P10" s="123"/>
      <c r="Q10" s="123"/>
      <c r="R10" s="123"/>
      <c r="S10" s="4"/>
      <c r="T10" s="4"/>
    </row>
    <row r="11" spans="1:20" hidden="1">
      <c r="A11" s="131"/>
      <c r="B11" s="132"/>
      <c r="C11" s="198"/>
      <c r="D11" s="132"/>
      <c r="E11" s="133"/>
      <c r="F11" s="134"/>
      <c r="G11" s="132"/>
      <c r="H11" s="135"/>
      <c r="I11" s="136"/>
      <c r="K11"/>
      <c r="N11" s="131"/>
      <c r="O11" s="131"/>
      <c r="P11" s="131"/>
      <c r="Q11" s="131"/>
      <c r="R11" s="131"/>
      <c r="S11" s="131"/>
      <c r="T11" s="131"/>
    </row>
    <row r="12" spans="1:20" ht="15.95">
      <c r="A12" s="4" t="s">
        <v>2</v>
      </c>
      <c r="B12" s="30" t="s">
        <v>399</v>
      </c>
      <c r="C12" s="182" t="s">
        <v>400</v>
      </c>
      <c r="D12" s="30" t="s">
        <v>282</v>
      </c>
      <c r="E12" s="59">
        <v>5.5</v>
      </c>
      <c r="F12" s="125">
        <v>46203</v>
      </c>
      <c r="G12" s="30" t="s">
        <v>261</v>
      </c>
      <c r="H12" s="60">
        <v>0.9</v>
      </c>
      <c r="I12" s="141">
        <f>E12*H12</f>
        <v>4.95</v>
      </c>
      <c r="K12" s="89" t="s">
        <v>428</v>
      </c>
      <c r="N12" s="123"/>
      <c r="O12" s="123"/>
      <c r="P12" s="123"/>
      <c r="Q12" s="123"/>
      <c r="R12" s="123"/>
      <c r="S12" s="4"/>
      <c r="T12" s="4"/>
    </row>
    <row r="13" spans="1:20" hidden="1">
      <c r="A13" s="131"/>
      <c r="B13" s="132"/>
      <c r="C13" s="198"/>
      <c r="D13" s="132"/>
      <c r="E13" s="133"/>
      <c r="F13" s="134"/>
      <c r="G13" s="132"/>
      <c r="H13" s="135"/>
      <c r="I13" s="136"/>
      <c r="K13"/>
      <c r="N13" s="131"/>
      <c r="O13" s="131"/>
      <c r="P13" s="131"/>
      <c r="Q13" s="131"/>
      <c r="R13" s="131"/>
      <c r="S13" s="131"/>
      <c r="T13" s="131"/>
    </row>
    <row r="14" spans="1:20" ht="15.95">
      <c r="A14" s="4" t="s">
        <v>2</v>
      </c>
      <c r="B14" s="30" t="s">
        <v>464</v>
      </c>
      <c r="C14" s="182" t="s">
        <v>427</v>
      </c>
      <c r="D14" s="30" t="s">
        <v>247</v>
      </c>
      <c r="E14" s="59">
        <v>12</v>
      </c>
      <c r="F14" s="125">
        <v>46203</v>
      </c>
      <c r="G14" s="30" t="s">
        <v>243</v>
      </c>
      <c r="H14" s="60">
        <v>0.9</v>
      </c>
      <c r="I14" s="141">
        <f>E14*H14</f>
        <v>10.8</v>
      </c>
      <c r="K14" s="89" t="s">
        <v>428</v>
      </c>
      <c r="N14" s="123"/>
      <c r="O14" s="123"/>
      <c r="P14" s="123"/>
      <c r="Q14" s="123"/>
      <c r="R14" s="123"/>
      <c r="S14" s="4"/>
      <c r="T14" s="4"/>
    </row>
    <row r="15" spans="1:20" hidden="1">
      <c r="A15" s="131"/>
      <c r="B15" s="132"/>
      <c r="C15" s="198"/>
      <c r="D15" s="132"/>
      <c r="E15" s="133"/>
      <c r="F15" s="134"/>
      <c r="G15" s="132"/>
      <c r="H15" s="135"/>
      <c r="I15" s="136"/>
      <c r="K15"/>
      <c r="N15" s="131"/>
      <c r="O15" s="131"/>
      <c r="P15" s="131"/>
      <c r="Q15" s="131"/>
      <c r="R15" s="131"/>
      <c r="S15" s="131"/>
      <c r="T15" s="131"/>
    </row>
    <row r="16" spans="1:20" ht="15.95">
      <c r="A16" s="4" t="s">
        <v>2</v>
      </c>
      <c r="B16" s="30" t="s">
        <v>465</v>
      </c>
      <c r="C16" s="182" t="s">
        <v>466</v>
      </c>
      <c r="D16" s="30" t="s">
        <v>247</v>
      </c>
      <c r="E16" s="59">
        <v>2</v>
      </c>
      <c r="F16" s="125">
        <v>46203</v>
      </c>
      <c r="G16" s="30" t="s">
        <v>244</v>
      </c>
      <c r="H16" s="60">
        <v>1</v>
      </c>
      <c r="I16" s="141">
        <f>E16*H16</f>
        <v>2</v>
      </c>
      <c r="K16" s="89" t="s">
        <v>244</v>
      </c>
      <c r="N16" s="123"/>
      <c r="O16" s="123"/>
      <c r="P16" s="123"/>
      <c r="Q16" s="123"/>
      <c r="R16" s="123"/>
      <c r="S16" s="4"/>
      <c r="T16" s="4"/>
    </row>
    <row r="17" spans="1:20" hidden="1">
      <c r="A17" s="131"/>
      <c r="B17" s="132"/>
      <c r="C17" s="198"/>
      <c r="D17" s="132"/>
      <c r="E17" s="133"/>
      <c r="F17" s="134"/>
      <c r="G17" s="132"/>
      <c r="H17" s="135"/>
      <c r="I17" s="136"/>
      <c r="K17"/>
      <c r="N17" s="131"/>
      <c r="O17" s="131"/>
      <c r="P17" s="131"/>
      <c r="Q17" s="131"/>
      <c r="R17" s="131"/>
      <c r="S17" s="131"/>
      <c r="T17" s="131"/>
    </row>
    <row r="18" spans="1:20" ht="15.95">
      <c r="A18" s="4" t="s">
        <v>2</v>
      </c>
      <c r="B18" s="4" t="s">
        <v>467</v>
      </c>
      <c r="C18" s="182" t="s">
        <v>468</v>
      </c>
      <c r="D18" s="182" t="s">
        <v>247</v>
      </c>
      <c r="E18" s="30">
        <v>5</v>
      </c>
      <c r="F18" s="125">
        <v>46203</v>
      </c>
      <c r="G18" s="125" t="s">
        <v>239</v>
      </c>
      <c r="H18" s="30">
        <v>0.7</v>
      </c>
      <c r="I18" s="141">
        <f>E18*H18</f>
        <v>3.5</v>
      </c>
      <c r="K18" s="89" t="s">
        <v>428</v>
      </c>
      <c r="N18" s="4"/>
      <c r="O18" s="4"/>
      <c r="P18" s="4"/>
      <c r="Q18" s="4"/>
      <c r="R18" s="4"/>
      <c r="S18" s="4"/>
      <c r="T18" s="4"/>
    </row>
    <row r="19" spans="1:20" hidden="1">
      <c r="A19" s="131"/>
      <c r="B19" s="132"/>
      <c r="C19" s="198"/>
      <c r="D19" s="132"/>
      <c r="E19" s="133"/>
      <c r="F19" s="134"/>
      <c r="G19" s="132"/>
      <c r="H19" s="135"/>
      <c r="I19" s="136"/>
      <c r="K19"/>
      <c r="N19" s="131"/>
      <c r="O19" s="131"/>
      <c r="P19" s="131"/>
      <c r="Q19" s="131"/>
      <c r="R19" s="131"/>
      <c r="S19" s="131"/>
      <c r="T19" s="131"/>
    </row>
    <row r="20" spans="1:20" ht="15.95">
      <c r="A20" s="4" t="s">
        <v>2</v>
      </c>
      <c r="B20" s="30" t="s">
        <v>444</v>
      </c>
      <c r="C20" s="182" t="s">
        <v>445</v>
      </c>
      <c r="D20" s="30" t="s">
        <v>282</v>
      </c>
      <c r="E20" s="59">
        <v>5</v>
      </c>
      <c r="F20" s="125">
        <v>46199</v>
      </c>
      <c r="G20" s="30" t="s">
        <v>244</v>
      </c>
      <c r="H20" s="60">
        <v>1</v>
      </c>
      <c r="I20" s="147">
        <f>E20*H20</f>
        <v>5</v>
      </c>
      <c r="K20" s="89" t="s">
        <v>319</v>
      </c>
      <c r="N20" s="123"/>
      <c r="O20" s="123"/>
      <c r="P20" s="123"/>
      <c r="Q20" s="123"/>
      <c r="R20" s="123"/>
      <c r="S20" s="4"/>
      <c r="T20" s="4"/>
    </row>
    <row r="21" spans="1:20" hidden="1">
      <c r="A21" s="131"/>
      <c r="B21" s="132"/>
      <c r="C21" s="198"/>
      <c r="D21" s="132"/>
      <c r="E21" s="133"/>
      <c r="F21" s="134"/>
      <c r="G21" s="132"/>
      <c r="H21" s="135"/>
      <c r="I21" s="136"/>
      <c r="K21"/>
      <c r="N21" s="131"/>
      <c r="O21" s="131"/>
      <c r="P21" s="131"/>
      <c r="Q21" s="131"/>
      <c r="R21" s="131"/>
      <c r="S21" s="131"/>
      <c r="T21" s="131"/>
    </row>
    <row r="22" spans="1:20" ht="15.95">
      <c r="A22" s="4" t="s">
        <v>2</v>
      </c>
      <c r="B22" s="30" t="s">
        <v>438</v>
      </c>
      <c r="C22" s="182" t="s">
        <v>439</v>
      </c>
      <c r="D22" s="30" t="s">
        <v>247</v>
      </c>
      <c r="E22" s="59">
        <v>20</v>
      </c>
      <c r="F22" s="125">
        <v>46203</v>
      </c>
      <c r="G22" s="30" t="s">
        <v>261</v>
      </c>
      <c r="H22" s="60">
        <v>0.5</v>
      </c>
      <c r="I22" s="141">
        <f>E22*H22</f>
        <v>10</v>
      </c>
      <c r="K22" s="89" t="s">
        <v>428</v>
      </c>
      <c r="N22" s="123"/>
      <c r="O22" s="123"/>
      <c r="P22" s="123"/>
      <c r="Q22" s="123"/>
      <c r="R22" s="123"/>
      <c r="S22" s="4"/>
      <c r="T22" s="4"/>
    </row>
    <row r="23" spans="1:20" hidden="1">
      <c r="A23" s="131"/>
      <c r="B23" s="132"/>
      <c r="C23" s="198"/>
      <c r="D23" s="132"/>
      <c r="E23" s="133"/>
      <c r="F23" s="134"/>
      <c r="G23" s="132"/>
      <c r="H23" s="135"/>
      <c r="I23" s="136"/>
      <c r="K23"/>
      <c r="N23" s="131"/>
      <c r="O23" s="131"/>
      <c r="P23" s="131"/>
      <c r="Q23" s="131"/>
      <c r="R23" s="131"/>
      <c r="S23" s="131"/>
      <c r="T23" s="131"/>
    </row>
    <row r="24" spans="1:20" ht="15.95">
      <c r="A24" s="4" t="s">
        <v>2</v>
      </c>
      <c r="B24" s="30" t="s">
        <v>359</v>
      </c>
      <c r="C24" s="182" t="s">
        <v>39</v>
      </c>
      <c r="D24" s="30" t="s">
        <v>247</v>
      </c>
      <c r="E24" s="59">
        <v>130</v>
      </c>
      <c r="F24" s="125">
        <v>46203</v>
      </c>
      <c r="G24" s="30" t="s">
        <v>243</v>
      </c>
      <c r="H24" s="60">
        <v>0.9</v>
      </c>
      <c r="I24" s="141">
        <f>E24*H24</f>
        <v>117</v>
      </c>
      <c r="K24" s="89" t="s">
        <v>424</v>
      </c>
      <c r="N24" s="123">
        <f>I24/5</f>
        <v>23.4</v>
      </c>
      <c r="O24" s="123" t="e">
        <f>#REF!</f>
        <v>#REF!</v>
      </c>
      <c r="P24" s="123" t="e">
        <f>#REF!</f>
        <v>#REF!</v>
      </c>
      <c r="Q24" s="123" t="e">
        <f>#REF!</f>
        <v>#REF!</v>
      </c>
      <c r="R24" s="123" t="e">
        <f>#REF!</f>
        <v>#REF!</v>
      </c>
      <c r="S24" s="4"/>
      <c r="T24" s="4"/>
    </row>
    <row r="25" spans="1:20" hidden="1">
      <c r="A25" s="131"/>
      <c r="B25" s="132"/>
      <c r="C25" s="198"/>
      <c r="D25" s="132"/>
      <c r="E25" s="133"/>
      <c r="F25" s="134"/>
      <c r="G25" s="132"/>
      <c r="H25" s="135"/>
      <c r="I25" s="136"/>
      <c r="K25"/>
      <c r="N25" s="131"/>
      <c r="O25" s="131"/>
      <c r="P25" s="131"/>
      <c r="Q25" s="131"/>
      <c r="R25" s="131"/>
      <c r="S25" s="131"/>
      <c r="T25" s="131"/>
    </row>
    <row r="26" spans="1:20" ht="15.95" hidden="1">
      <c r="A26" s="4" t="s">
        <v>2</v>
      </c>
      <c r="B26" s="30" t="s">
        <v>305</v>
      </c>
      <c r="C26" s="182" t="s">
        <v>237</v>
      </c>
      <c r="D26" s="30" t="s">
        <v>247</v>
      </c>
      <c r="E26" s="59">
        <v>50</v>
      </c>
      <c r="F26" s="125">
        <v>46203</v>
      </c>
      <c r="G26" s="30" t="s">
        <v>331</v>
      </c>
      <c r="H26" s="60">
        <v>0.7</v>
      </c>
      <c r="I26" s="141">
        <f>E26*H26*$M$1</f>
        <v>0</v>
      </c>
      <c r="K26"/>
      <c r="N26" s="4"/>
      <c r="O26" s="123">
        <f>I26/2</f>
        <v>0</v>
      </c>
      <c r="P26" s="4"/>
      <c r="Q26" s="4"/>
      <c r="R26" s="123">
        <f>O26</f>
        <v>0</v>
      </c>
      <c r="S26" s="4"/>
      <c r="T26" s="4"/>
    </row>
    <row r="27" spans="1:20" hidden="1">
      <c r="A27" s="131"/>
      <c r="B27" s="132"/>
      <c r="C27" s="198"/>
      <c r="D27" s="132"/>
      <c r="E27" s="133"/>
      <c r="F27" s="134"/>
      <c r="G27" s="132"/>
      <c r="H27" s="135"/>
      <c r="I27" s="136"/>
      <c r="K27"/>
      <c r="N27" s="131"/>
      <c r="O27" s="131"/>
      <c r="P27" s="131"/>
      <c r="Q27" s="131"/>
      <c r="R27" s="131"/>
      <c r="S27" s="131"/>
      <c r="T27" s="131"/>
    </row>
    <row r="28" spans="1:20" ht="15.95" hidden="1">
      <c r="A28" s="4" t="s">
        <v>2</v>
      </c>
      <c r="B28" s="30" t="s">
        <v>401</v>
      </c>
      <c r="C28" s="182" t="s">
        <v>402</v>
      </c>
      <c r="D28" s="30" t="s">
        <v>242</v>
      </c>
      <c r="E28" s="59">
        <v>4</v>
      </c>
      <c r="F28" s="125">
        <v>46203</v>
      </c>
      <c r="G28" s="30" t="s">
        <v>360</v>
      </c>
      <c r="H28" s="60">
        <v>0.3</v>
      </c>
      <c r="I28" s="141">
        <f>E28*H28*$M$1</f>
        <v>0</v>
      </c>
      <c r="K28" s="4"/>
      <c r="N28" s="123"/>
      <c r="O28" s="123"/>
      <c r="P28" s="123">
        <f>E28*H28*20%</f>
        <v>0.24</v>
      </c>
      <c r="Q28" s="123">
        <f>E28*H28*25%</f>
        <v>0.3</v>
      </c>
      <c r="R28" s="4"/>
      <c r="S28" s="4"/>
      <c r="T28" s="123">
        <f>E28*H28*50%</f>
        <v>0.6</v>
      </c>
    </row>
    <row r="29" spans="1:20" hidden="1">
      <c r="A29" s="131"/>
      <c r="B29" s="132"/>
      <c r="C29" s="198"/>
      <c r="D29" s="132"/>
      <c r="E29" s="133"/>
      <c r="F29" s="134"/>
      <c r="G29" s="132"/>
      <c r="H29" s="135"/>
      <c r="I29" s="136"/>
      <c r="K29"/>
      <c r="N29" s="131"/>
      <c r="O29" s="131"/>
      <c r="P29" s="131"/>
      <c r="Q29" s="131"/>
      <c r="R29" s="131"/>
      <c r="S29" s="131"/>
      <c r="T29" s="131"/>
    </row>
    <row r="30" spans="1:20" ht="15.95">
      <c r="A30" s="4" t="s">
        <v>2</v>
      </c>
      <c r="B30" s="30" t="s">
        <v>352</v>
      </c>
      <c r="C30" s="182" t="s">
        <v>353</v>
      </c>
      <c r="D30" s="30" t="s">
        <v>247</v>
      </c>
      <c r="E30" s="59">
        <v>22</v>
      </c>
      <c r="F30" s="125">
        <v>46203</v>
      </c>
      <c r="G30" s="30" t="s">
        <v>239</v>
      </c>
      <c r="H30" s="60">
        <v>0.5</v>
      </c>
      <c r="I30" s="141">
        <f>E30*H30</f>
        <v>11</v>
      </c>
      <c r="K30" s="89" t="s">
        <v>469</v>
      </c>
      <c r="N30" s="123"/>
      <c r="O30" s="123"/>
      <c r="P30" s="123"/>
      <c r="Q30" s="123"/>
      <c r="R30" s="123"/>
      <c r="S30" s="4"/>
      <c r="T30" s="4"/>
    </row>
    <row r="31" spans="1:20" hidden="1">
      <c r="A31" s="131"/>
      <c r="B31" s="132"/>
      <c r="C31" s="198"/>
      <c r="D31" s="132"/>
      <c r="E31" s="133"/>
      <c r="F31" s="134"/>
      <c r="G31" s="132"/>
      <c r="H31" s="135"/>
      <c r="I31" s="136"/>
      <c r="K31"/>
      <c r="N31" s="131"/>
      <c r="O31" s="131"/>
      <c r="P31" s="131"/>
      <c r="Q31" s="131"/>
      <c r="R31" s="131"/>
      <c r="S31" s="131"/>
      <c r="T31" s="131"/>
    </row>
    <row r="32" spans="1:20" ht="15.95" hidden="1">
      <c r="A32" s="4" t="s">
        <v>2</v>
      </c>
      <c r="B32" s="30" t="s">
        <v>406</v>
      </c>
      <c r="C32" s="182" t="s">
        <v>405</v>
      </c>
      <c r="D32" s="30" t="s">
        <v>282</v>
      </c>
      <c r="E32" s="59">
        <v>7</v>
      </c>
      <c r="F32" s="125">
        <v>46203</v>
      </c>
      <c r="G32" s="30" t="s">
        <v>360</v>
      </c>
      <c r="H32" s="60">
        <v>0.6</v>
      </c>
      <c r="I32" s="141">
        <f>E32*H32*$M$1</f>
        <v>0</v>
      </c>
      <c r="K32" s="4"/>
      <c r="N32" s="123"/>
      <c r="O32" s="123"/>
      <c r="P32" s="123"/>
      <c r="Q32" s="123"/>
      <c r="R32" s="123"/>
      <c r="S32" s="4"/>
      <c r="T32" s="4"/>
    </row>
    <row r="33" spans="1:20" hidden="1">
      <c r="A33" s="148"/>
      <c r="B33" s="149"/>
      <c r="C33" s="199"/>
      <c r="D33" s="149"/>
      <c r="E33" s="150"/>
      <c r="F33" s="151"/>
      <c r="G33" s="149"/>
      <c r="H33" s="152"/>
      <c r="I33" s="153"/>
      <c r="K33"/>
      <c r="N33" s="131"/>
      <c r="O33" s="131"/>
      <c r="P33" s="131"/>
      <c r="Q33" s="131"/>
      <c r="R33" s="131"/>
      <c r="S33" s="131"/>
      <c r="T33" s="131"/>
    </row>
    <row r="34" spans="1:20" ht="15.95" hidden="1">
      <c r="A34" s="4" t="s">
        <v>2</v>
      </c>
      <c r="B34" s="30" t="s">
        <v>271</v>
      </c>
      <c r="C34" s="182" t="s">
        <v>379</v>
      </c>
      <c r="D34" s="30" t="s">
        <v>242</v>
      </c>
      <c r="E34" s="59">
        <v>35</v>
      </c>
      <c r="F34" s="125">
        <v>46203</v>
      </c>
      <c r="G34" s="30" t="s">
        <v>331</v>
      </c>
      <c r="H34" s="60">
        <v>0.5</v>
      </c>
      <c r="I34" s="141">
        <f>E34*H34*$M$1</f>
        <v>0</v>
      </c>
      <c r="K34"/>
      <c r="N34" s="123"/>
      <c r="O34" s="123"/>
      <c r="P34" s="123"/>
      <c r="Q34" s="123"/>
      <c r="R34" s="123"/>
      <c r="S34" s="4"/>
      <c r="T34" s="4"/>
    </row>
    <row r="35" spans="1:20" hidden="1">
      <c r="A35" s="148"/>
      <c r="B35" s="149"/>
      <c r="C35" s="199"/>
      <c r="D35" s="149"/>
      <c r="E35" s="150"/>
      <c r="F35" s="151"/>
      <c r="G35" s="149"/>
      <c r="H35" s="152"/>
      <c r="I35" s="153"/>
      <c r="K35"/>
      <c r="N35" s="131"/>
      <c r="O35" s="131"/>
      <c r="P35" s="131"/>
      <c r="Q35" s="131"/>
      <c r="R35" s="131"/>
      <c r="S35" s="131"/>
      <c r="T35" s="131"/>
    </row>
    <row r="36" spans="1:20" ht="15.95">
      <c r="A36" s="176" t="s">
        <v>21</v>
      </c>
      <c r="B36" s="177" t="s">
        <v>413</v>
      </c>
      <c r="C36" s="182" t="s">
        <v>459</v>
      </c>
      <c r="D36" s="30" t="s">
        <v>238</v>
      </c>
      <c r="E36" s="59">
        <v>30</v>
      </c>
      <c r="F36" s="125">
        <v>46203</v>
      </c>
      <c r="G36" s="30" t="s">
        <v>261</v>
      </c>
      <c r="H36" s="60">
        <v>0.1</v>
      </c>
      <c r="I36" s="141">
        <f>E36*H36</f>
        <v>3</v>
      </c>
      <c r="K36" s="89" t="s">
        <v>470</v>
      </c>
      <c r="N36" s="123"/>
      <c r="O36" s="123"/>
      <c r="P36" s="123"/>
      <c r="Q36" s="123"/>
      <c r="R36" s="123"/>
      <c r="S36" s="4"/>
      <c r="T36" s="4"/>
    </row>
    <row r="37" spans="1:20" hidden="1">
      <c r="A37" s="131"/>
      <c r="B37" s="132"/>
      <c r="C37" s="198"/>
      <c r="D37" s="132"/>
      <c r="E37" s="133"/>
      <c r="F37" s="134"/>
      <c r="G37" s="132"/>
      <c r="H37" s="135"/>
      <c r="I37" s="136"/>
      <c r="K37"/>
      <c r="N37" s="131"/>
      <c r="O37" s="131"/>
      <c r="P37" s="131"/>
      <c r="Q37" s="131"/>
      <c r="R37" s="131"/>
      <c r="S37" s="131"/>
      <c r="T37" s="131"/>
    </row>
    <row r="38" spans="1:20" ht="15.95">
      <c r="A38" s="176" t="s">
        <v>21</v>
      </c>
      <c r="B38" s="177" t="s">
        <v>471</v>
      </c>
      <c r="C38" s="182" t="s">
        <v>472</v>
      </c>
      <c r="D38" s="30" t="s">
        <v>238</v>
      </c>
      <c r="E38" s="59">
        <v>4</v>
      </c>
      <c r="F38" s="125">
        <v>46199</v>
      </c>
      <c r="G38" s="30" t="s">
        <v>261</v>
      </c>
      <c r="H38" s="60">
        <v>0.25</v>
      </c>
      <c r="I38" s="141">
        <f>E38*H38</f>
        <v>1</v>
      </c>
      <c r="K38" s="89" t="s">
        <v>424</v>
      </c>
      <c r="N38" s="123"/>
      <c r="O38" s="123"/>
      <c r="P38" s="123"/>
      <c r="Q38" s="123"/>
      <c r="R38" s="123"/>
      <c r="S38" s="4"/>
      <c r="T38" s="4"/>
    </row>
    <row r="39" spans="1:20" hidden="1">
      <c r="A39" s="131"/>
      <c r="B39" s="132"/>
      <c r="C39" s="198"/>
      <c r="D39" s="132"/>
      <c r="E39" s="133"/>
      <c r="F39" s="134"/>
      <c r="G39" s="132"/>
      <c r="H39" s="135"/>
      <c r="I39" s="136"/>
      <c r="K39"/>
      <c r="N39" s="131"/>
      <c r="O39" s="131"/>
      <c r="P39" s="131"/>
      <c r="Q39" s="131"/>
      <c r="R39" s="131"/>
      <c r="S39" s="131"/>
      <c r="T39" s="131"/>
    </row>
    <row r="40" spans="1:20" ht="15.95" hidden="1">
      <c r="A40" s="176" t="s">
        <v>21</v>
      </c>
      <c r="B40" s="177" t="s">
        <v>473</v>
      </c>
      <c r="C40" s="182" t="s">
        <v>343</v>
      </c>
      <c r="D40" s="30" t="s">
        <v>247</v>
      </c>
      <c r="E40" s="59">
        <v>3</v>
      </c>
      <c r="F40" s="125">
        <v>46203</v>
      </c>
      <c r="G40" s="30" t="s">
        <v>360</v>
      </c>
      <c r="H40" s="60">
        <v>0.25</v>
      </c>
      <c r="I40" s="141">
        <f>E40*H40*$M$1</f>
        <v>0</v>
      </c>
      <c r="K40" s="4"/>
      <c r="N40" s="123"/>
      <c r="O40" s="123"/>
      <c r="P40" s="123"/>
      <c r="Q40" s="123"/>
      <c r="R40" s="123"/>
      <c r="S40" s="4"/>
      <c r="T40" s="4"/>
    </row>
    <row r="41" spans="1:20" hidden="1">
      <c r="A41" s="131"/>
      <c r="B41" s="132"/>
      <c r="C41" s="198"/>
      <c r="D41" s="132"/>
      <c r="E41" s="133"/>
      <c r="F41" s="134"/>
      <c r="G41" s="132"/>
      <c r="H41" s="135"/>
      <c r="I41" s="136"/>
      <c r="K41"/>
      <c r="N41" s="131"/>
      <c r="O41" s="131"/>
      <c r="P41" s="131"/>
      <c r="Q41" s="131"/>
      <c r="R41" s="131"/>
      <c r="S41" s="131"/>
      <c r="T41" s="131"/>
    </row>
    <row r="42" spans="1:20" ht="15.95">
      <c r="A42" s="176" t="s">
        <v>21</v>
      </c>
      <c r="B42" s="177" t="s">
        <v>393</v>
      </c>
      <c r="C42" s="182" t="s">
        <v>430</v>
      </c>
      <c r="D42" s="30" t="s">
        <v>238</v>
      </c>
      <c r="E42" s="59">
        <v>41</v>
      </c>
      <c r="F42" s="125">
        <v>46199</v>
      </c>
      <c r="G42" s="30" t="s">
        <v>261</v>
      </c>
      <c r="H42" s="60">
        <v>0.15</v>
      </c>
      <c r="I42" s="141">
        <f>E42*H42</f>
        <v>6.1499999999999995</v>
      </c>
      <c r="K42" s="89" t="s">
        <v>474</v>
      </c>
      <c r="N42" s="123"/>
      <c r="O42" s="123"/>
      <c r="P42" s="123"/>
      <c r="Q42" s="123"/>
      <c r="R42" s="123"/>
      <c r="S42" s="4"/>
      <c r="T42" s="4"/>
    </row>
    <row r="43" spans="1:20" hidden="1">
      <c r="A43" s="131"/>
      <c r="B43" s="132"/>
      <c r="C43" s="198"/>
      <c r="D43" s="132"/>
      <c r="E43" s="133"/>
      <c r="F43" s="134"/>
      <c r="G43" s="132"/>
      <c r="H43" s="135"/>
      <c r="I43" s="136"/>
      <c r="K43"/>
      <c r="N43" s="131"/>
      <c r="O43" s="131"/>
      <c r="P43" s="131"/>
      <c r="Q43" s="131"/>
      <c r="R43" s="131"/>
      <c r="S43" s="131"/>
      <c r="T43" s="131"/>
    </row>
    <row r="44" spans="1:20" ht="15.95">
      <c r="A44" s="176" t="s">
        <v>21</v>
      </c>
      <c r="B44" s="177" t="s">
        <v>258</v>
      </c>
      <c r="C44" s="182" t="s">
        <v>320</v>
      </c>
      <c r="D44" s="30" t="s">
        <v>238</v>
      </c>
      <c r="E44" s="59">
        <v>40</v>
      </c>
      <c r="F44" s="125">
        <v>46203</v>
      </c>
      <c r="G44" s="30" t="s">
        <v>244</v>
      </c>
      <c r="H44" s="60">
        <v>1</v>
      </c>
      <c r="I44" s="141">
        <f>E44*H44</f>
        <v>40</v>
      </c>
      <c r="K44" s="89" t="s">
        <v>244</v>
      </c>
      <c r="N44" s="123"/>
      <c r="O44" s="123"/>
      <c r="P44" s="123"/>
      <c r="Q44" s="123"/>
      <c r="R44" s="123"/>
      <c r="S44" s="4"/>
      <c r="T44" s="4"/>
    </row>
    <row r="45" spans="1:20" hidden="1">
      <c r="A45" s="131"/>
      <c r="B45" s="132"/>
      <c r="C45" s="200"/>
      <c r="D45" s="178"/>
      <c r="E45" s="179"/>
      <c r="F45" s="180"/>
      <c r="G45" s="178"/>
      <c r="H45" s="181"/>
      <c r="I45" s="136"/>
      <c r="K45"/>
      <c r="N45" s="131"/>
      <c r="O45" s="131"/>
      <c r="P45" s="131"/>
      <c r="Q45" s="131"/>
      <c r="R45" s="131"/>
      <c r="S45" s="131"/>
      <c r="T45" s="131"/>
    </row>
    <row r="46" spans="1:20" ht="15.95">
      <c r="A46" s="4" t="s">
        <v>147</v>
      </c>
      <c r="B46" s="30" t="s">
        <v>426</v>
      </c>
      <c r="C46" s="182" t="s">
        <v>427</v>
      </c>
      <c r="D46" s="30" t="s">
        <v>238</v>
      </c>
      <c r="E46" s="59">
        <v>2</v>
      </c>
      <c r="F46" s="125">
        <v>46203</v>
      </c>
      <c r="G46" s="30" t="s">
        <v>244</v>
      </c>
      <c r="H46" s="60">
        <v>1</v>
      </c>
      <c r="I46" s="141">
        <f>E46*H46</f>
        <v>2</v>
      </c>
      <c r="K46" s="89" t="s">
        <v>244</v>
      </c>
      <c r="N46" s="4"/>
      <c r="O46" s="4"/>
      <c r="P46" s="4"/>
      <c r="Q46" s="4"/>
      <c r="R46" s="4"/>
      <c r="S46" s="4"/>
      <c r="T46" s="4"/>
    </row>
    <row r="47" spans="1:20" hidden="1">
      <c r="A47" s="131"/>
      <c r="B47" s="132"/>
      <c r="C47" s="198"/>
      <c r="D47" s="132"/>
      <c r="E47" s="133"/>
      <c r="F47" s="134"/>
      <c r="G47" s="132"/>
      <c r="H47" s="135"/>
      <c r="I47" s="136"/>
      <c r="K47"/>
      <c r="N47" s="131"/>
      <c r="O47" s="131"/>
      <c r="P47" s="131"/>
      <c r="Q47" s="131"/>
      <c r="R47" s="131"/>
      <c r="S47" s="131"/>
      <c r="T47" s="131"/>
    </row>
    <row r="48" spans="1:20" ht="15.95">
      <c r="A48" s="4" t="s">
        <v>21</v>
      </c>
      <c r="B48" s="30" t="s">
        <v>431</v>
      </c>
      <c r="C48" s="182" t="s">
        <v>427</v>
      </c>
      <c r="D48" s="30" t="s">
        <v>238</v>
      </c>
      <c r="E48" s="59">
        <v>7</v>
      </c>
      <c r="F48" s="125">
        <v>46203</v>
      </c>
      <c r="G48" s="30" t="s">
        <v>244</v>
      </c>
      <c r="H48" s="60">
        <v>1</v>
      </c>
      <c r="I48" s="141">
        <f>E48*H48</f>
        <v>7</v>
      </c>
      <c r="K48" s="89" t="s">
        <v>244</v>
      </c>
      <c r="N48" s="4"/>
      <c r="O48" s="4"/>
      <c r="P48" s="4"/>
      <c r="Q48" s="4"/>
      <c r="R48" s="4"/>
      <c r="S48" s="4"/>
      <c r="T48" s="4"/>
    </row>
    <row r="49" spans="1:21" hidden="1">
      <c r="A49" s="131"/>
      <c r="B49" s="132"/>
      <c r="C49" s="198"/>
      <c r="D49" s="132"/>
      <c r="E49" s="133"/>
      <c r="F49" s="134"/>
      <c r="G49" s="132"/>
      <c r="H49" s="135"/>
      <c r="I49" s="136"/>
      <c r="K49"/>
      <c r="N49" s="131"/>
      <c r="O49" s="131"/>
      <c r="P49" s="131"/>
      <c r="Q49" s="131"/>
      <c r="R49" s="131"/>
      <c r="S49" s="131"/>
      <c r="T49" s="131"/>
    </row>
    <row r="50" spans="1:21" ht="15.95">
      <c r="A50" s="4" t="s">
        <v>2</v>
      </c>
      <c r="B50" s="30" t="s">
        <v>432</v>
      </c>
      <c r="C50" s="182" t="s">
        <v>364</v>
      </c>
      <c r="D50" s="30" t="s">
        <v>282</v>
      </c>
      <c r="E50" s="59">
        <v>66</v>
      </c>
      <c r="F50" s="125">
        <v>46171</v>
      </c>
      <c r="G50" s="30" t="s">
        <v>244</v>
      </c>
      <c r="H50" s="60">
        <v>1</v>
      </c>
      <c r="I50" s="141">
        <f>E50*H50</f>
        <v>66</v>
      </c>
      <c r="K50" s="89" t="s">
        <v>244</v>
      </c>
      <c r="N50" s="4"/>
      <c r="O50" s="123">
        <f>E50*H50*20%</f>
        <v>13.200000000000001</v>
      </c>
      <c r="P50" s="123">
        <f>E50*H50*25%</f>
        <v>16.5</v>
      </c>
      <c r="Q50" s="4"/>
      <c r="R50" s="4"/>
      <c r="S50" s="123">
        <f>E50*H50*50%</f>
        <v>33</v>
      </c>
      <c r="T50" s="4"/>
    </row>
    <row r="51" spans="1:21" hidden="1">
      <c r="A51" s="131"/>
      <c r="B51" s="132"/>
      <c r="C51" s="198"/>
      <c r="D51" s="132"/>
      <c r="E51" s="133"/>
      <c r="F51" s="134"/>
      <c r="G51" s="132"/>
      <c r="H51" s="135"/>
      <c r="I51" s="136" t="s">
        <v>422</v>
      </c>
      <c r="K51"/>
      <c r="N51" s="131">
        <f>H50*1.5</f>
        <v>1.5</v>
      </c>
      <c r="O51" s="131"/>
      <c r="P51" s="131"/>
      <c r="Q51" s="131">
        <f>H50*2.5</f>
        <v>2.5</v>
      </c>
      <c r="R51" s="131">
        <f>H50*1.4</f>
        <v>1.4</v>
      </c>
      <c r="S51" s="131">
        <f>H50*23</f>
        <v>23</v>
      </c>
      <c r="T51" s="131"/>
    </row>
    <row r="52" spans="1:21" ht="15.95">
      <c r="A52" s="4" t="s">
        <v>2</v>
      </c>
      <c r="B52" s="30" t="s">
        <v>435</v>
      </c>
      <c r="C52" s="182" t="s">
        <v>436</v>
      </c>
      <c r="D52" s="30" t="s">
        <v>282</v>
      </c>
      <c r="E52" s="59">
        <v>9</v>
      </c>
      <c r="F52" s="125">
        <v>46171</v>
      </c>
      <c r="G52" s="30" t="s">
        <v>244</v>
      </c>
      <c r="H52" s="60">
        <v>1</v>
      </c>
      <c r="I52" s="141">
        <f>E52*H52</f>
        <v>9</v>
      </c>
      <c r="K52" s="89" t="s">
        <v>244</v>
      </c>
      <c r="N52" s="4"/>
      <c r="O52" s="4"/>
      <c r="P52" s="4"/>
      <c r="Q52" s="4"/>
      <c r="R52" s="4"/>
      <c r="S52" s="4"/>
      <c r="T52" s="4"/>
    </row>
    <row r="53" spans="1:21" hidden="1">
      <c r="A53" s="131"/>
      <c r="B53" s="132"/>
      <c r="C53" s="198"/>
      <c r="D53" s="132"/>
      <c r="E53" s="133"/>
      <c r="F53" s="134"/>
      <c r="G53" s="132"/>
      <c r="H53" s="135"/>
      <c r="I53" s="136"/>
      <c r="K53"/>
      <c r="N53" s="131"/>
      <c r="O53" s="131"/>
      <c r="P53" s="131"/>
      <c r="Q53" s="131"/>
      <c r="R53" s="131"/>
      <c r="S53" s="131"/>
      <c r="T53" s="131"/>
    </row>
    <row r="54" spans="1:21" hidden="1"/>
    <row r="56" spans="1:21">
      <c r="G56" s="256" t="s">
        <v>475</v>
      </c>
      <c r="H56" s="92" t="s">
        <v>6</v>
      </c>
      <c r="I56" s="93">
        <f>'Proyección Q2 (Abril)'!I133</f>
        <v>436.99999999999994</v>
      </c>
      <c r="J56" s="96">
        <f>Panel!F119</f>
        <v>79.453999999999994</v>
      </c>
      <c r="K56" s="90">
        <f>J56-I56</f>
        <v>-357.54599999999994</v>
      </c>
      <c r="N56" s="167" t="e">
        <f>(#REF!+#REF!+#REF!+#REF!+#REF!+N50+N79+#REF!+#REF!+N81+N83+#REF!+#REF!+#REF!+#REF!+#REF!+#REF!+#REF!+#REF!+#REF!+#REF!+#REF!+#REF!+#REF!+#REF!)*1000000</f>
        <v>#REF!</v>
      </c>
      <c r="O56" s="167" t="e">
        <f>(#REF!+#REF!+#REF!+#REF!+#REF!+O50+O79+#REF!+#REF!+O81+O83+#REF!+#REF!+#REF!+#REF!+#REF!+#REF!+#REF!+#REF!+#REF!+#REF!+#REF!+#REF!+#REF!+#REF!)*1000000</f>
        <v>#REF!</v>
      </c>
      <c r="P56" s="167" t="e">
        <f>(#REF!+#REF!+#REF!+#REF!+#REF!+P50+P79+#REF!+#REF!+P81+P83+#REF!+#REF!+#REF!+#REF!+#REF!+#REF!+#REF!+#REF!+#REF!+#REF!+#REF!+#REF!+#REF!+#REF!)*1000000</f>
        <v>#REF!</v>
      </c>
      <c r="Q56" s="167" t="e">
        <f>(#REF!+#REF!+#REF!+#REF!+#REF!+Q50+Q79+#REF!+#REF!+Q81+Q83+#REF!+#REF!+#REF!+#REF!+#REF!+#REF!+#REF!+#REF!+#REF!+#REF!+#REF!+#REF!+#REF!+#REF!)*1000000</f>
        <v>#REF!</v>
      </c>
      <c r="R56" s="167" t="e">
        <f>(#REF!+#REF!+#REF!+#REF!+#REF!+R50+R79+#REF!+#REF!+R81+R83+#REF!+#REF!+#REF!+#REF!+#REF!+#REF!+#REF!+#REF!+#REF!+#REF!+#REF!+#REF!+#REF!+#REF!)*1000000</f>
        <v>#REF!</v>
      </c>
      <c r="S56" s="167" t="e">
        <f>(#REF!+#REF!+#REF!+#REF!+#REF!+S50+S79+#REF!+#REF!+S81+S83+#REF!+#REF!+#REF!+#REF!+#REF!+#REF!+#REF!+#REF!+#REF!+#REF!+#REF!+#REF!+#REF!+#REF!)*1000000</f>
        <v>#REF!</v>
      </c>
      <c r="T56" s="167" t="e">
        <f>(#REF!+#REF!+#REF!+#REF!+#REF!+T50+T79+#REF!+#REF!+T81+T83+#REF!+#REF!+#REF!+#REF!+#REF!+#REF!+#REF!+#REF!+#REF!+#REF!+#REF!+#REF!+#REF!+#REF!)*1000000</f>
        <v>#REF!</v>
      </c>
      <c r="U56" s="175" t="e">
        <f>SUM(N56:T56)</f>
        <v>#REF!</v>
      </c>
    </row>
    <row r="57" spans="1:21">
      <c r="G57" s="257"/>
      <c r="H57" s="92" t="s">
        <v>7</v>
      </c>
      <c r="I57" s="93">
        <f ca="1">SUM(I46:I83)</f>
        <v>132.1</v>
      </c>
      <c r="J57" s="96">
        <f>Panel!F136</f>
        <v>535.82399999999996</v>
      </c>
      <c r="K57" s="90">
        <f ca="1">J57-I57</f>
        <v>354.11</v>
      </c>
      <c r="N57" s="163" t="e">
        <f>(#REF!+#REF!+#REF!+#REF!+#REF!+N51+N80+#REF!+#REF!+N82+N84+#REF!+#REF!+#REF!+#REF!+#REF!+#REF!+#REF!+#REF!+#REF!+#REF!+#REF!+#REF!+#REF!+#REF!)*1000000</f>
        <v>#REF!</v>
      </c>
      <c r="O57" s="163" t="e">
        <f>(#REF!+#REF!+#REF!+#REF!+#REF!+O51+O80+#REF!+#REF!+O82+O84+#REF!+#REF!+#REF!+#REF!+#REF!+#REF!+#REF!+#REF!+#REF!+#REF!+#REF!+#REF!+#REF!+#REF!)*1000000</f>
        <v>#REF!</v>
      </c>
      <c r="P57" s="163" t="e">
        <f>(#REF!+#REF!+#REF!+#REF!+#REF!+P51+P80+#REF!+#REF!+P82+P84+#REF!+#REF!+#REF!+#REF!+#REF!+#REF!+#REF!+#REF!+#REF!+#REF!+#REF!+#REF!+#REF!+#REF!)*1000000</f>
        <v>#REF!</v>
      </c>
      <c r="Q57" s="163" t="e">
        <f>(#REF!+#REF!+#REF!+#REF!+#REF!+Q51+Q80+#REF!+#REF!+Q82+Q84+#REF!+#REF!+#REF!+#REF!+#REF!+#REF!+#REF!+#REF!+#REF!+#REF!+#REF!+#REF!+#REF!+#REF!)*1000000</f>
        <v>#REF!</v>
      </c>
      <c r="R57" s="163" t="e">
        <f>(#REF!+#REF!+#REF!+#REF!+#REF!+R51+R80+#REF!+#REF!+R82+R84+#REF!+#REF!+#REF!+#REF!+#REF!+#REF!+#REF!+#REF!+#REF!+#REF!+#REF!+#REF!+#REF!+#REF!)*1000000</f>
        <v>#REF!</v>
      </c>
      <c r="S57" s="163" t="e">
        <f>(#REF!+#REF!+#REF!+#REF!+#REF!+S51+S80+#REF!+#REF!+S82+S84+#REF!+#REF!+#REF!+#REF!+#REF!+#REF!+#REF!+#REF!+#REF!+#REF!+#REF!+#REF!+#REF!+#REF!)*1000000</f>
        <v>#REF!</v>
      </c>
      <c r="T57" s="163" t="e">
        <f>(#REF!+#REF!+#REF!+#REF!+#REF!+T51+T80+#REF!+#REF!+T82+T84+#REF!+#REF!+#REF!+#REF!+#REF!+#REF!+#REF!+#REF!+#REF!+#REF!+#REF!+#REF!+#REF!+#REF!)*1000000</f>
        <v>#REF!</v>
      </c>
      <c r="U57" s="175" t="e">
        <f>SUM(N57:T57)</f>
        <v>#REF!</v>
      </c>
    </row>
    <row r="58" spans="1:21">
      <c r="G58" s="257"/>
      <c r="H58" s="92" t="s">
        <v>8</v>
      </c>
      <c r="I58" s="93">
        <f>SUM(I2:I52)</f>
        <v>492.29999999999995</v>
      </c>
      <c r="J58" s="96">
        <f>Panel!F150</f>
        <v>237.77700000000002</v>
      </c>
      <c r="K58" s="90">
        <f>J58-I58</f>
        <v>-254.52299999999994</v>
      </c>
    </row>
    <row r="60" spans="1:21">
      <c r="A60" s="110" t="s">
        <v>2</v>
      </c>
      <c r="B60" s="110" t="s">
        <v>327</v>
      </c>
      <c r="C60" s="110" t="s">
        <v>332</v>
      </c>
      <c r="D60" s="110" t="s">
        <v>282</v>
      </c>
      <c r="E60" s="110">
        <v>42</v>
      </c>
      <c r="F60" s="112" t="s">
        <v>7</v>
      </c>
      <c r="G60" s="110" t="s">
        <v>261</v>
      </c>
      <c r="H60" s="111">
        <v>0.9</v>
      </c>
      <c r="I60" s="110">
        <f>E60*H60</f>
        <v>37.800000000000004</v>
      </c>
      <c r="J60" s="46"/>
      <c r="N60" s="93">
        <f>I60*20%</f>
        <v>7.5600000000000014</v>
      </c>
      <c r="O60" s="93">
        <f>I60*25%</f>
        <v>9.4500000000000011</v>
      </c>
      <c r="P60" s="93"/>
      <c r="Q60" s="93"/>
      <c r="R60" s="93">
        <f>I60*50%</f>
        <v>18.900000000000002</v>
      </c>
      <c r="S60" s="93">
        <f>I60*5%</f>
        <v>1.8900000000000003</v>
      </c>
      <c r="T60" s="4"/>
    </row>
    <row r="61" spans="1:21">
      <c r="A61" s="131"/>
      <c r="B61" s="132"/>
      <c r="C61" s="132"/>
      <c r="D61" s="132"/>
      <c r="E61" s="133"/>
      <c r="F61" s="134"/>
      <c r="G61" s="132"/>
      <c r="H61" s="135"/>
      <c r="I61" s="136"/>
      <c r="N61" s="139"/>
      <c r="O61" s="139">
        <f>0.9*H60</f>
        <v>0.81</v>
      </c>
      <c r="P61" s="139"/>
      <c r="Q61" s="139"/>
      <c r="R61" s="168">
        <f>H60*7</f>
        <v>6.3</v>
      </c>
      <c r="S61" s="168">
        <f>H60*10</f>
        <v>9</v>
      </c>
      <c r="T61" s="168"/>
    </row>
    <row r="62" spans="1:21" ht="15.95">
      <c r="A62" s="4" t="s">
        <v>2</v>
      </c>
      <c r="B62" s="30" t="s">
        <v>418</v>
      </c>
      <c r="C62" s="30" t="s">
        <v>200</v>
      </c>
      <c r="D62" s="30" t="s">
        <v>417</v>
      </c>
      <c r="E62" s="31">
        <v>237</v>
      </c>
      <c r="F62" s="125">
        <v>46203</v>
      </c>
      <c r="G62" s="30" t="s">
        <v>261</v>
      </c>
      <c r="H62" s="33">
        <v>0.5</v>
      </c>
      <c r="I62" s="93">
        <f>E62*H62</f>
        <v>118.5</v>
      </c>
      <c r="N62" s="127"/>
      <c r="O62" s="127"/>
      <c r="P62" s="127">
        <f>I62*10%</f>
        <v>11.850000000000001</v>
      </c>
      <c r="Q62" s="127">
        <f>I62*15%</f>
        <v>17.774999999999999</v>
      </c>
      <c r="R62" s="127">
        <f>I62*20%</f>
        <v>23.700000000000003</v>
      </c>
      <c r="S62" s="127"/>
      <c r="T62" s="127">
        <f>I62*20%</f>
        <v>23.700000000000003</v>
      </c>
    </row>
    <row r="63" spans="1:21">
      <c r="A63" s="131"/>
      <c r="B63" s="132"/>
      <c r="C63" s="132"/>
      <c r="D63" s="132"/>
      <c r="E63" s="133"/>
      <c r="F63" s="134"/>
      <c r="G63" s="132"/>
      <c r="H63" s="135"/>
      <c r="I63" s="136"/>
      <c r="N63" s="139"/>
      <c r="O63" s="139">
        <f>1.4*H62</f>
        <v>0.7</v>
      </c>
      <c r="P63" s="139">
        <f>H62*2.6</f>
        <v>1.3</v>
      </c>
      <c r="Q63" s="139"/>
      <c r="R63" s="139">
        <f>21.5*H62</f>
        <v>10.75</v>
      </c>
      <c r="S63" s="139">
        <f>3.8*H62</f>
        <v>1.9</v>
      </c>
      <c r="T63" s="139">
        <f>H62*43.5</f>
        <v>21.75</v>
      </c>
    </row>
    <row r="64" spans="1:21" ht="15.95">
      <c r="A64" s="4" t="s">
        <v>309</v>
      </c>
      <c r="B64" s="30" t="s">
        <v>419</v>
      </c>
      <c r="C64" s="30" t="s">
        <v>334</v>
      </c>
      <c r="D64" s="30" t="s">
        <v>417</v>
      </c>
      <c r="E64" s="31">
        <v>94</v>
      </c>
      <c r="F64" s="125">
        <v>46264</v>
      </c>
      <c r="G64" s="110" t="s">
        <v>331</v>
      </c>
      <c r="H64" s="33">
        <v>0</v>
      </c>
      <c r="I64" s="93">
        <f>E64*H64</f>
        <v>0</v>
      </c>
      <c r="N64" s="127"/>
      <c r="O64" s="127"/>
      <c r="P64" s="127"/>
      <c r="Q64" s="127"/>
      <c r="R64" s="127">
        <f>E64*H64*70%*35%</f>
        <v>0</v>
      </c>
      <c r="S64" s="127">
        <f>65%*20%*E64*H64</f>
        <v>0</v>
      </c>
      <c r="T64" s="127">
        <f>E64*H64*65%*25%</f>
        <v>0</v>
      </c>
    </row>
    <row r="65" spans="1:23">
      <c r="A65" s="131"/>
      <c r="B65" s="132"/>
      <c r="C65" s="132"/>
      <c r="D65" s="132"/>
      <c r="E65" s="133"/>
      <c r="F65" s="134"/>
      <c r="G65" s="132"/>
      <c r="H65" s="135"/>
      <c r="I65" s="136"/>
      <c r="N65" s="139"/>
      <c r="O65" s="139"/>
      <c r="P65" s="139"/>
      <c r="Q65" s="139"/>
      <c r="R65" s="139">
        <f>H64*0.3</f>
        <v>0</v>
      </c>
      <c r="S65" s="139">
        <f>R65</f>
        <v>0</v>
      </c>
      <c r="T65" s="139">
        <f>S65</f>
        <v>0</v>
      </c>
    </row>
    <row r="66" spans="1:23">
      <c r="N66" s="127" t="e">
        <f>#REF!+#REF!+#REF!+#REF!+#REF!+N50+N79+#REF!+#REF!+N81+N83+#REF!+#REF!+#REF!+#REF!+#REF!+#REF!+#REF!+#REF!+#REF!+#REF!+#REF!+#REF!+#REF!+#REF!</f>
        <v>#REF!</v>
      </c>
      <c r="O66" s="127" t="e">
        <f>#REF!+#REF!+#REF!+#REF!+#REF!+O50+O79+#REF!+#REF!+O81+O83+#REF!+#REF!+#REF!+#REF!+#REF!+#REF!+#REF!+#REF!+#REF!+#REF!+#REF!+#REF!+#REF!+#REF!</f>
        <v>#REF!</v>
      </c>
      <c r="P66" s="127" t="e">
        <f>#REF!+#REF!+#REF!+#REF!+#REF!+P50+P79+#REF!+#REF!+P81+P83+#REF!+#REF!+#REF!+#REF!+#REF!+#REF!+#REF!+#REF!+#REF!+#REF!+#REF!+#REF!+#REF!+#REF!</f>
        <v>#REF!</v>
      </c>
      <c r="Q66" s="127" t="e">
        <f>#REF!+#REF!+#REF!+#REF!+#REF!+Q50+Q79+#REF!+#REF!+Q81+Q83+#REF!+#REF!+#REF!+#REF!+#REF!+#REF!+#REF!+#REF!+#REF!+#REF!+#REF!+#REF!+#REF!+#REF!</f>
        <v>#REF!</v>
      </c>
      <c r="R66" s="127" t="e">
        <f>#REF!+#REF!+#REF!+#REF!+#REF!+R50+R79+#REF!+#REF!+R81+R83+#REF!+#REF!+#REF!+#REF!+#REF!+#REF!+#REF!+#REF!+#REF!+#REF!+#REF!+#REF!+#REF!+#REF!</f>
        <v>#REF!</v>
      </c>
      <c r="S66" s="127" t="e">
        <f>#REF!+#REF!+#REF!+#REF!+#REF!+S50+S79+#REF!+#REF!+S81+S83+#REF!+#REF!+#REF!+#REF!+#REF!+#REF!+#REF!+#REF!+#REF!+#REF!+#REF!+#REF!+#REF!+#REF!</f>
        <v>#REF!</v>
      </c>
      <c r="T66" s="127" t="e">
        <f>#REF!+#REF!+#REF!+#REF!+#REF!+T50+T79+#REF!+#REF!+T81+T83+#REF!+#REF!+#REF!+#REF!+#REF!+#REF!+#REF!+#REF!+#REF!+#REF!+#REF!+#REF!+#REF!+#REF!</f>
        <v>#REF!</v>
      </c>
    </row>
    <row r="68" spans="1:23">
      <c r="N68" s="127">
        <f>(N60+N62+N64)*1000000</f>
        <v>7560000.0000000009</v>
      </c>
      <c r="O68" s="127">
        <f t="shared" ref="O68:T69" si="0">(O60+O62+O64)*1000000</f>
        <v>9450000.0000000019</v>
      </c>
      <c r="P68" s="127">
        <f t="shared" si="0"/>
        <v>11850000.000000002</v>
      </c>
      <c r="Q68" s="127">
        <f t="shared" si="0"/>
        <v>17775000</v>
      </c>
      <c r="R68" s="127">
        <f t="shared" si="0"/>
        <v>42600000.000000007</v>
      </c>
      <c r="S68" s="127">
        <f t="shared" si="0"/>
        <v>1890000.0000000002</v>
      </c>
      <c r="T68" s="127">
        <f t="shared" si="0"/>
        <v>23700000.000000004</v>
      </c>
      <c r="U68" s="175">
        <f>SUM(N68:T68)</f>
        <v>114825000.00000001</v>
      </c>
    </row>
    <row r="69" spans="1:23">
      <c r="N69" s="163">
        <f>(N61+N63+N65)*1000000</f>
        <v>0</v>
      </c>
      <c r="O69" s="163">
        <f t="shared" si="0"/>
        <v>1510000</v>
      </c>
      <c r="P69" s="163">
        <f t="shared" si="0"/>
        <v>1300000</v>
      </c>
      <c r="Q69" s="163">
        <f t="shared" si="0"/>
        <v>0</v>
      </c>
      <c r="R69" s="163">
        <f t="shared" si="0"/>
        <v>17050000</v>
      </c>
      <c r="S69" s="163">
        <f t="shared" si="0"/>
        <v>10900000</v>
      </c>
      <c r="T69" s="163">
        <f t="shared" si="0"/>
        <v>21750000</v>
      </c>
      <c r="U69" s="175">
        <f>SUM(N69:T69)</f>
        <v>52510000</v>
      </c>
    </row>
    <row r="71" spans="1:23" ht="15.95" thickBot="1">
      <c r="N71" s="63" t="s">
        <v>24</v>
      </c>
    </row>
    <row r="72" spans="1:23">
      <c r="N72" s="169" t="e">
        <f t="shared" ref="N72:T73" si="1">N56+N68</f>
        <v>#REF!</v>
      </c>
      <c r="O72" s="170" t="e">
        <f t="shared" si="1"/>
        <v>#REF!</v>
      </c>
      <c r="P72" s="170" t="e">
        <f t="shared" si="1"/>
        <v>#REF!</v>
      </c>
      <c r="Q72" s="170" t="e">
        <f t="shared" si="1"/>
        <v>#REF!</v>
      </c>
      <c r="R72" s="170" t="e">
        <f t="shared" si="1"/>
        <v>#REF!</v>
      </c>
      <c r="S72" s="170" t="e">
        <f t="shared" si="1"/>
        <v>#REF!</v>
      </c>
      <c r="T72" s="171" t="e">
        <f t="shared" si="1"/>
        <v>#REF!</v>
      </c>
      <c r="U72" s="51" t="e">
        <f>SUM(N72:R72)</f>
        <v>#REF!</v>
      </c>
      <c r="W72" s="175" t="e">
        <f>SUM(N72:S72)</f>
        <v>#REF!</v>
      </c>
    </row>
    <row r="73" spans="1:23" ht="15.95" thickBot="1">
      <c r="N73" s="172" t="e">
        <f t="shared" si="1"/>
        <v>#REF!</v>
      </c>
      <c r="O73" s="173" t="e">
        <f t="shared" si="1"/>
        <v>#REF!</v>
      </c>
      <c r="P73" s="173" t="e">
        <f t="shared" si="1"/>
        <v>#REF!</v>
      </c>
      <c r="Q73" s="173" t="e">
        <f t="shared" si="1"/>
        <v>#REF!</v>
      </c>
      <c r="R73" s="173" t="e">
        <f t="shared" si="1"/>
        <v>#REF!</v>
      </c>
      <c r="S73" s="173" t="e">
        <f t="shared" si="1"/>
        <v>#REF!</v>
      </c>
      <c r="T73" s="174" t="e">
        <f t="shared" si="1"/>
        <v>#REF!</v>
      </c>
      <c r="U73" s="51" t="e">
        <f>SUM(N73:S73)</f>
        <v>#REF!</v>
      </c>
      <c r="W73" s="175" t="e">
        <f>SUM(N73:S73)</f>
        <v>#REF!</v>
      </c>
    </row>
    <row r="74" spans="1:23">
      <c r="U74" s="175" t="e">
        <f>U72-U73</f>
        <v>#REF!</v>
      </c>
      <c r="W74" s="35" t="e">
        <f>W73/W72</f>
        <v>#REF!</v>
      </c>
    </row>
    <row r="77" spans="1:23" ht="15.95">
      <c r="A77" s="4" t="s">
        <v>2</v>
      </c>
      <c r="B77" s="30" t="s">
        <v>415</v>
      </c>
      <c r="C77" s="30" t="s">
        <v>423</v>
      </c>
      <c r="D77" s="30" t="s">
        <v>242</v>
      </c>
      <c r="E77" s="59">
        <v>55</v>
      </c>
      <c r="F77" s="125">
        <v>46157</v>
      </c>
      <c r="G77" s="30" t="s">
        <v>261</v>
      </c>
      <c r="H77" s="60">
        <v>0.1</v>
      </c>
      <c r="I77" s="141">
        <f>E77*H77</f>
        <v>5.5</v>
      </c>
      <c r="K77" s="89" t="s">
        <v>424</v>
      </c>
      <c r="N77" s="127">
        <f>I77*20%</f>
        <v>1.1000000000000001</v>
      </c>
      <c r="O77" s="127">
        <f>I77*10%</f>
        <v>0.55000000000000004</v>
      </c>
      <c r="P77" s="127">
        <f>I77*20%</f>
        <v>1.1000000000000001</v>
      </c>
      <c r="Q77" s="127">
        <f>I77*25%</f>
        <v>1.375</v>
      </c>
      <c r="R77" s="127">
        <f>I77*20%</f>
        <v>1.1000000000000001</v>
      </c>
      <c r="S77" s="140">
        <f>I77*5%</f>
        <v>0.27500000000000002</v>
      </c>
      <c r="T77" s="110"/>
    </row>
    <row r="78" spans="1:23">
      <c r="A78" s="131"/>
      <c r="B78" s="132"/>
      <c r="C78" s="132"/>
      <c r="D78" s="132"/>
      <c r="E78" s="133"/>
      <c r="F78" s="134"/>
      <c r="G78" s="132"/>
      <c r="H78" s="135"/>
      <c r="I78" s="136"/>
      <c r="N78" s="139"/>
      <c r="O78" s="139">
        <f>0.1*H77</f>
        <v>1.0000000000000002E-2</v>
      </c>
      <c r="P78" s="139"/>
      <c r="Q78" s="139">
        <f>2.3*H77</f>
        <v>0.22999999999999998</v>
      </c>
      <c r="R78" s="139">
        <f>H77*10</f>
        <v>1</v>
      </c>
      <c r="S78" s="139">
        <f>H77*6.2</f>
        <v>0.62000000000000011</v>
      </c>
      <c r="T78" s="139"/>
    </row>
    <row r="79" spans="1:23" ht="15.95">
      <c r="A79" s="4" t="s">
        <v>2</v>
      </c>
      <c r="B79" s="30" t="s">
        <v>369</v>
      </c>
      <c r="C79" s="30" t="s">
        <v>237</v>
      </c>
      <c r="D79" s="30" t="s">
        <v>247</v>
      </c>
      <c r="E79" s="59">
        <v>160</v>
      </c>
      <c r="F79" s="125" t="s">
        <v>476</v>
      </c>
      <c r="G79" s="30" t="s">
        <v>261</v>
      </c>
      <c r="H79" s="60">
        <v>0.7</v>
      </c>
      <c r="I79" s="141">
        <f>E79*H79</f>
        <v>112</v>
      </c>
      <c r="J79" t="s">
        <v>477</v>
      </c>
      <c r="N79" s="110"/>
      <c r="O79" s="127">
        <f>I79*10%</f>
        <v>11.200000000000001</v>
      </c>
      <c r="P79" s="127"/>
      <c r="Q79" s="110"/>
      <c r="R79" s="110"/>
      <c r="S79" s="127">
        <f>60%*I79</f>
        <v>67.2</v>
      </c>
      <c r="T79" s="123">
        <f>I79*30%</f>
        <v>33.6</v>
      </c>
    </row>
    <row r="80" spans="1:23">
      <c r="A80" s="131"/>
      <c r="B80" s="132"/>
      <c r="C80" s="132"/>
      <c r="D80" s="132"/>
      <c r="E80" s="133"/>
      <c r="F80" s="134"/>
      <c r="G80" s="132"/>
      <c r="H80" s="135"/>
      <c r="I80" s="136" t="s">
        <v>422</v>
      </c>
      <c r="N80" s="137">
        <f>1.4*H79</f>
        <v>0.97999999999999987</v>
      </c>
      <c r="O80" s="139">
        <f>0.3*H79</f>
        <v>0.21</v>
      </c>
      <c r="P80" s="139"/>
      <c r="Q80" s="139"/>
      <c r="R80" s="139">
        <f>9.2*H79</f>
        <v>6.4399999999999995</v>
      </c>
      <c r="S80" s="139">
        <f>1.1*H79</f>
        <v>0.77</v>
      </c>
      <c r="T80" s="131">
        <f>17*H79</f>
        <v>11.899999999999999</v>
      </c>
    </row>
    <row r="81" spans="1:23" ht="15.95">
      <c r="A81" s="4" t="s">
        <v>2</v>
      </c>
      <c r="B81" s="30" t="s">
        <v>442</v>
      </c>
      <c r="C81" s="30" t="s">
        <v>338</v>
      </c>
      <c r="D81" s="30" t="s">
        <v>247</v>
      </c>
      <c r="E81" s="59">
        <v>300</v>
      </c>
      <c r="F81" s="125">
        <v>46172</v>
      </c>
      <c r="G81" s="30" t="s">
        <v>252</v>
      </c>
      <c r="H81" s="60">
        <v>0.7</v>
      </c>
      <c r="I81" s="141">
        <f>E81*H81</f>
        <v>210</v>
      </c>
      <c r="N81" s="123">
        <f>I81*20%</f>
        <v>42</v>
      </c>
      <c r="O81" s="123">
        <f>I81*10%</f>
        <v>21</v>
      </c>
      <c r="P81" s="123">
        <f>I81*15%</f>
        <v>31.5</v>
      </c>
      <c r="Q81" s="123">
        <f>I81*5%</f>
        <v>10.5</v>
      </c>
      <c r="R81" s="4"/>
      <c r="S81" s="4"/>
      <c r="T81" s="123">
        <f>I81*21%</f>
        <v>44.1</v>
      </c>
      <c r="U81" s="123">
        <f>I81*9%</f>
        <v>18.899999999999999</v>
      </c>
      <c r="V81" s="123">
        <f>I81*20%</f>
        <v>42</v>
      </c>
      <c r="W81" s="123"/>
    </row>
    <row r="82" spans="1:23">
      <c r="A82" s="148"/>
      <c r="B82" s="149"/>
      <c r="C82" s="149"/>
      <c r="D82" s="149"/>
      <c r="E82" s="150"/>
      <c r="F82" s="151"/>
      <c r="G82" s="149"/>
      <c r="H82" s="152"/>
      <c r="I82" s="153" t="s">
        <v>422</v>
      </c>
      <c r="N82" s="131"/>
      <c r="O82" s="131">
        <f>1*H81</f>
        <v>0.7</v>
      </c>
      <c r="P82" s="131"/>
      <c r="Q82" s="131">
        <f>9.9*H81</f>
        <v>6.93</v>
      </c>
      <c r="R82" s="131">
        <f>20*H81</f>
        <v>14</v>
      </c>
      <c r="S82" s="131">
        <f>76*H81</f>
        <v>53.199999999999996</v>
      </c>
      <c r="T82" s="131">
        <f>4.2*H81</f>
        <v>2.94</v>
      </c>
      <c r="U82" s="131">
        <f>4*H81</f>
        <v>2.8</v>
      </c>
      <c r="V82" s="131"/>
      <c r="W82" s="131">
        <f>44*H81</f>
        <v>30.799999999999997</v>
      </c>
    </row>
    <row r="83" spans="1:23" ht="15.95">
      <c r="A83" s="4" t="s">
        <v>147</v>
      </c>
      <c r="B83" s="30" t="s">
        <v>443</v>
      </c>
      <c r="C83" s="30" t="s">
        <v>311</v>
      </c>
      <c r="D83" s="30" t="s">
        <v>247</v>
      </c>
      <c r="E83" s="59">
        <v>118</v>
      </c>
      <c r="F83" s="125">
        <v>46172</v>
      </c>
      <c r="G83" s="30" t="s">
        <v>261</v>
      </c>
      <c r="H83" s="60">
        <v>0.5</v>
      </c>
      <c r="I83" s="141">
        <f>E83*H83</f>
        <v>59</v>
      </c>
      <c r="N83" s="127">
        <f>I83/5</f>
        <v>11.8</v>
      </c>
      <c r="O83" s="127">
        <f>$N$83</f>
        <v>11.8</v>
      </c>
      <c r="P83" s="127">
        <f>$N$83</f>
        <v>11.8</v>
      </c>
      <c r="Q83" s="127">
        <f>$N$83</f>
        <v>11.8</v>
      </c>
      <c r="R83" s="127">
        <f>$N$83</f>
        <v>11.8</v>
      </c>
      <c r="S83" s="4"/>
      <c r="T83" s="4"/>
    </row>
    <row r="84" spans="1:23" ht="15.95" thickBot="1">
      <c r="A84" s="154"/>
      <c r="B84" s="155"/>
      <c r="C84" s="155"/>
      <c r="D84" s="155"/>
      <c r="E84" s="156"/>
      <c r="F84" s="157"/>
      <c r="G84" s="155"/>
      <c r="H84" s="158"/>
      <c r="I84" s="159" t="s">
        <v>422</v>
      </c>
      <c r="N84" s="166"/>
      <c r="O84" s="166">
        <f>2.4*H83</f>
        <v>1.2</v>
      </c>
      <c r="P84" s="166">
        <f>8.5*H83</f>
        <v>4.25</v>
      </c>
      <c r="Q84" s="166">
        <f>H83*33</f>
        <v>16.5</v>
      </c>
      <c r="R84" s="166">
        <f>H83*4.9</f>
        <v>2.4500000000000002</v>
      </c>
      <c r="S84" s="154"/>
      <c r="T84" s="154"/>
    </row>
  </sheetData>
  <autoFilter ref="A1:I54" xr:uid="{5CF00BC1-F119-6645-A5E6-E8453C55E48C}">
    <filterColumn colId="6">
      <filters>
        <filter val="Cierre"/>
        <filter val="Cierre 70% (Preferencia)"/>
        <filter val="Cierre 90% (Adjudicación Verbal)"/>
        <filter val="OC"/>
      </filters>
    </filterColumn>
  </autoFilter>
  <mergeCells count="1">
    <mergeCell ref="G56:G58"/>
  </mergeCells>
  <conditionalFormatting sqref="K2">
    <cfRule type="cellIs" dxfId="6" priority="7" operator="equal">
      <formula>"OC"</formula>
    </cfRule>
  </conditionalFormatting>
  <conditionalFormatting sqref="K16">
    <cfRule type="cellIs" dxfId="5" priority="6" operator="equal">
      <formula>"OC"</formula>
    </cfRule>
  </conditionalFormatting>
  <conditionalFormatting sqref="K44">
    <cfRule type="cellIs" dxfId="4" priority="1" operator="equal">
      <formula>"OC"</formula>
    </cfRule>
  </conditionalFormatting>
  <conditionalFormatting sqref="K46">
    <cfRule type="cellIs" dxfId="3" priority="5" operator="equal">
      <formula>"OC"</formula>
    </cfRule>
  </conditionalFormatting>
  <conditionalFormatting sqref="K48">
    <cfRule type="cellIs" dxfId="2" priority="4" operator="equal">
      <formula>"OC"</formula>
    </cfRule>
  </conditionalFormatting>
  <conditionalFormatting sqref="K50">
    <cfRule type="cellIs" dxfId="1" priority="3" operator="equal">
      <formula>"OC"</formula>
    </cfRule>
  </conditionalFormatting>
  <conditionalFormatting sqref="K52">
    <cfRule type="cellIs" dxfId="0" priority="2" operator="equal">
      <formula>"OC"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9B02-EA2D-EA41-A8E1-9DCC37F0902C}">
  <dimension ref="A1:AB105"/>
  <sheetViews>
    <sheetView showGridLines="0" zoomScaleNormal="100" workbookViewId="0">
      <pane xSplit="3" ySplit="1" topLeftCell="D2" activePane="bottomRight" state="frozen"/>
      <selection pane="bottomRight" activeCell="L2" sqref="L2"/>
      <selection pane="bottomLeft" activeCell="A2" sqref="A2"/>
      <selection pane="topRight"/>
    </sheetView>
  </sheetViews>
  <sheetFormatPr defaultColWidth="11.42578125" defaultRowHeight="15" outlineLevelCol="1"/>
  <cols>
    <col min="2" max="2" width="47.42578125" customWidth="1"/>
    <col min="3" max="3" width="45.42578125" customWidth="1"/>
    <col min="4" max="4" width="21.85546875" customWidth="1"/>
    <col min="5" max="5" width="15" style="34" bestFit="1" customWidth="1"/>
    <col min="6" max="6" width="13.42578125" bestFit="1" customWidth="1"/>
    <col min="7" max="7" width="29.140625" customWidth="1"/>
    <col min="8" max="8" width="11.42578125" style="35"/>
    <col min="9" max="9" width="15.140625" style="34" customWidth="1"/>
    <col min="11" max="11" width="17.28515625" style="46" bestFit="1" customWidth="1"/>
    <col min="13" max="15" width="15.85546875" customWidth="1" outlineLevel="1"/>
    <col min="16" max="16" width="14.7109375" customWidth="1" outlineLevel="1"/>
    <col min="17" max="17" width="14.42578125" customWidth="1" outlineLevel="1"/>
    <col min="18" max="18" width="15.85546875" customWidth="1" outlineLevel="1"/>
    <col min="19" max="19" width="14.7109375" customWidth="1" outlineLevel="1"/>
    <col min="20" max="21" width="14.42578125" customWidth="1" outlineLevel="1"/>
    <col min="22" max="22" width="14.140625" customWidth="1" outlineLevel="1"/>
    <col min="23" max="23" width="14.42578125" customWidth="1" outlineLevel="1"/>
    <col min="24" max="24" width="13.28515625" customWidth="1" outlineLevel="1"/>
    <col min="25" max="25" width="14.5703125" customWidth="1" outlineLevel="1"/>
    <col min="26" max="28" width="11.42578125" customWidth="1" outlineLevel="1"/>
  </cols>
  <sheetData>
    <row r="1" spans="1:24">
      <c r="A1" s="27" t="s">
        <v>34</v>
      </c>
      <c r="B1" s="27" t="s">
        <v>228</v>
      </c>
      <c r="C1" s="27" t="s">
        <v>26</v>
      </c>
      <c r="D1" s="27" t="s">
        <v>229</v>
      </c>
      <c r="E1" s="28" t="s">
        <v>230</v>
      </c>
      <c r="F1" s="27" t="s">
        <v>231</v>
      </c>
      <c r="G1" s="27" t="s">
        <v>232</v>
      </c>
      <c r="H1" s="29" t="s">
        <v>233</v>
      </c>
      <c r="I1" s="28" t="s">
        <v>234</v>
      </c>
      <c r="K1" s="114" t="s">
        <v>478</v>
      </c>
      <c r="L1">
        <v>0</v>
      </c>
      <c r="M1" s="138" t="s">
        <v>10</v>
      </c>
      <c r="N1" s="138" t="s">
        <v>11</v>
      </c>
      <c r="O1" s="138" t="s">
        <v>12</v>
      </c>
      <c r="P1" s="138" t="s">
        <v>13</v>
      </c>
      <c r="Q1" s="138" t="s">
        <v>14</v>
      </c>
      <c r="R1" s="165">
        <v>46388</v>
      </c>
      <c r="S1" s="165">
        <v>46419</v>
      </c>
      <c r="T1" s="165">
        <v>46447</v>
      </c>
      <c r="U1" s="165">
        <v>46478</v>
      </c>
      <c r="V1" s="165">
        <v>46508</v>
      </c>
      <c r="W1" s="165">
        <v>46539</v>
      </c>
      <c r="X1" s="165">
        <v>46569</v>
      </c>
    </row>
    <row r="2" spans="1:24" ht="15.95">
      <c r="A2" s="4" t="s">
        <v>2</v>
      </c>
      <c r="B2" s="30" t="s">
        <v>438</v>
      </c>
      <c r="C2" s="30" t="s">
        <v>439</v>
      </c>
      <c r="D2" s="30" t="s">
        <v>282</v>
      </c>
      <c r="E2" s="31">
        <v>32</v>
      </c>
      <c r="F2" s="32">
        <v>46213</v>
      </c>
      <c r="G2" s="30" t="s">
        <v>243</v>
      </c>
      <c r="H2" s="33">
        <v>1</v>
      </c>
      <c r="I2" s="229">
        <f>E2*H2</f>
        <v>32</v>
      </c>
      <c r="K2" s="89"/>
      <c r="M2" s="4"/>
      <c r="N2" s="123">
        <f>I2*10%</f>
        <v>3.2</v>
      </c>
      <c r="O2" s="123">
        <f>I2*10%</f>
        <v>3.2</v>
      </c>
      <c r="P2" s="4"/>
      <c r="Q2" s="4"/>
      <c r="R2" s="123">
        <f>I2*30%</f>
        <v>9.6</v>
      </c>
      <c r="S2" s="123">
        <f>I2*50%</f>
        <v>16</v>
      </c>
      <c r="T2" s="4"/>
      <c r="U2" s="4"/>
      <c r="V2" s="4"/>
      <c r="W2" s="4"/>
      <c r="X2" s="4"/>
    </row>
    <row r="3" spans="1:24">
      <c r="A3" s="131"/>
      <c r="B3" s="132"/>
      <c r="C3" s="132"/>
      <c r="D3" s="132"/>
      <c r="E3" s="133"/>
      <c r="F3" s="134"/>
      <c r="G3" s="132"/>
      <c r="H3" s="135"/>
      <c r="I3" s="136"/>
      <c r="M3" s="136"/>
      <c r="N3" s="136"/>
      <c r="O3" s="205">
        <f>H2*0.4</f>
        <v>0.4</v>
      </c>
      <c r="P3" s="136"/>
      <c r="Q3" s="136">
        <f>1.6*H2</f>
        <v>1.6</v>
      </c>
      <c r="R3" s="136">
        <f>4.9*H2</f>
        <v>4.9000000000000004</v>
      </c>
      <c r="S3" s="136">
        <f>5.3*H2</f>
        <v>5.3</v>
      </c>
      <c r="T3" s="136">
        <f>H2*1.7</f>
        <v>1.7</v>
      </c>
      <c r="U3" s="136"/>
      <c r="V3" s="136"/>
      <c r="W3" s="136"/>
      <c r="X3" s="136"/>
    </row>
    <row r="4" spans="1:24" ht="15.95">
      <c r="A4" s="4" t="s">
        <v>2</v>
      </c>
      <c r="B4" s="30" t="s">
        <v>399</v>
      </c>
      <c r="C4" s="182" t="s">
        <v>400</v>
      </c>
      <c r="D4" s="30" t="s">
        <v>282</v>
      </c>
      <c r="E4" s="59">
        <v>5.5</v>
      </c>
      <c r="F4" s="32">
        <v>46213</v>
      </c>
      <c r="G4" s="30" t="s">
        <v>261</v>
      </c>
      <c r="H4" s="60">
        <v>1</v>
      </c>
      <c r="I4" s="229">
        <f>E4*H4</f>
        <v>5.5</v>
      </c>
      <c r="K4" s="89"/>
      <c r="M4" s="4"/>
      <c r="N4" s="123">
        <f>I4</f>
        <v>5.5</v>
      </c>
      <c r="O4" s="123"/>
      <c r="P4" s="123"/>
      <c r="Q4" s="123"/>
      <c r="R4" s="123"/>
      <c r="S4" s="4"/>
      <c r="T4" s="4"/>
      <c r="U4" s="4"/>
      <c r="V4" s="4"/>
      <c r="W4" s="4"/>
      <c r="X4" s="4"/>
    </row>
    <row r="5" spans="1:24">
      <c r="A5" s="208"/>
      <c r="B5" s="210"/>
      <c r="C5" s="215"/>
      <c r="D5" s="210"/>
      <c r="E5" s="211"/>
      <c r="F5" s="216"/>
      <c r="G5" s="210"/>
      <c r="H5" s="212"/>
      <c r="I5" s="213"/>
      <c r="K5" s="89"/>
      <c r="M5" s="208"/>
      <c r="N5" s="208"/>
      <c r="O5" s="209">
        <f>I4*0.85</f>
        <v>4.6749999999999998</v>
      </c>
      <c r="P5" s="208"/>
      <c r="Q5" s="208"/>
      <c r="R5" s="208"/>
      <c r="S5" s="208"/>
      <c r="T5" s="208"/>
      <c r="U5" s="208"/>
      <c r="V5" s="208"/>
      <c r="W5" s="208"/>
      <c r="X5" s="208"/>
    </row>
    <row r="6" spans="1:24" ht="15.95">
      <c r="A6" s="4" t="s">
        <v>2</v>
      </c>
      <c r="B6" s="30" t="s">
        <v>479</v>
      </c>
      <c r="C6" s="30" t="s">
        <v>480</v>
      </c>
      <c r="D6" s="30" t="s">
        <v>242</v>
      </c>
      <c r="E6" s="31">
        <v>28</v>
      </c>
      <c r="F6" s="32">
        <v>46227</v>
      </c>
      <c r="G6" s="30" t="s">
        <v>243</v>
      </c>
      <c r="H6" s="33">
        <v>1</v>
      </c>
      <c r="I6" s="93">
        <f>E6*H6</f>
        <v>28</v>
      </c>
      <c r="K6" s="8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>
      <c r="A7" s="206"/>
      <c r="B7" s="217"/>
      <c r="C7" s="218"/>
      <c r="D7" s="217"/>
      <c r="E7" s="219"/>
      <c r="F7" s="220"/>
      <c r="G7" s="217"/>
      <c r="H7" s="221"/>
      <c r="I7" s="222"/>
      <c r="K7" s="89"/>
      <c r="M7" s="206"/>
      <c r="N7" s="206"/>
      <c r="O7" s="207"/>
      <c r="P7" s="206"/>
      <c r="Q7" s="206"/>
      <c r="R7" s="206"/>
      <c r="S7" s="206"/>
      <c r="T7" s="206"/>
      <c r="U7" s="206"/>
      <c r="V7" s="206"/>
      <c r="W7" s="206"/>
      <c r="X7" s="206"/>
    </row>
    <row r="8" spans="1:24" ht="15.95">
      <c r="A8" s="4" t="s">
        <v>2</v>
      </c>
      <c r="B8" s="30" t="s">
        <v>394</v>
      </c>
      <c r="C8" s="30" t="s">
        <v>366</v>
      </c>
      <c r="D8" s="30" t="s">
        <v>282</v>
      </c>
      <c r="E8" s="31">
        <v>102</v>
      </c>
      <c r="F8" s="32">
        <v>46234</v>
      </c>
      <c r="G8" s="30" t="s">
        <v>243</v>
      </c>
      <c r="H8" s="33">
        <v>0.9</v>
      </c>
      <c r="I8" s="229">
        <f>E8*H8</f>
        <v>91.8</v>
      </c>
      <c r="K8" s="89"/>
      <c r="M8" s="4"/>
      <c r="N8" s="123">
        <f>I8*10%</f>
        <v>9.18</v>
      </c>
      <c r="O8" s="123">
        <f>I8*10%</f>
        <v>9.18</v>
      </c>
      <c r="P8" s="123">
        <f>I8*15%</f>
        <v>13.77</v>
      </c>
      <c r="Q8" s="4"/>
      <c r="R8" s="123">
        <f>I8*40%</f>
        <v>36.72</v>
      </c>
      <c r="S8" s="123">
        <f>I8*15%</f>
        <v>13.77</v>
      </c>
      <c r="T8" s="123">
        <f>I8*10%</f>
        <v>9.18</v>
      </c>
      <c r="U8" s="123"/>
      <c r="V8" s="123"/>
      <c r="W8" s="123"/>
      <c r="X8" s="123"/>
    </row>
    <row r="9" spans="1:24">
      <c r="A9" s="131"/>
      <c r="B9" s="214"/>
      <c r="C9" s="132"/>
      <c r="D9" s="132"/>
      <c r="E9" s="133"/>
      <c r="F9" s="134"/>
      <c r="G9" s="132"/>
      <c r="H9" s="135"/>
      <c r="I9" s="136"/>
      <c r="M9" s="136"/>
      <c r="N9" s="136"/>
      <c r="O9" s="205">
        <f>H8*1.5</f>
        <v>1.35</v>
      </c>
      <c r="P9" s="136"/>
      <c r="Q9" s="136"/>
      <c r="R9" s="136">
        <f>4.5*H8</f>
        <v>4.05</v>
      </c>
      <c r="S9" s="136">
        <f>30*H8</f>
        <v>27</v>
      </c>
      <c r="T9" s="136">
        <f>H8*14</f>
        <v>12.6</v>
      </c>
      <c r="U9" s="136"/>
      <c r="V9" s="136"/>
      <c r="W9" s="136"/>
      <c r="X9" s="136"/>
    </row>
    <row r="10" spans="1:24" ht="15.95">
      <c r="A10" s="4" t="s">
        <v>2</v>
      </c>
      <c r="B10" s="30" t="s">
        <v>481</v>
      </c>
      <c r="C10" s="30" t="s">
        <v>482</v>
      </c>
      <c r="D10" s="30" t="s">
        <v>242</v>
      </c>
      <c r="E10" s="31">
        <v>20</v>
      </c>
      <c r="F10" s="32">
        <v>46234</v>
      </c>
      <c r="G10" s="30" t="s">
        <v>331</v>
      </c>
      <c r="H10" s="33">
        <v>0.5</v>
      </c>
      <c r="I10" s="93">
        <f>E10*H10*$L$1</f>
        <v>0</v>
      </c>
      <c r="K10" s="8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>
      <c r="A11" s="206"/>
      <c r="B11" s="217"/>
      <c r="C11" s="218"/>
      <c r="D11" s="217"/>
      <c r="E11" s="219"/>
      <c r="F11" s="220"/>
      <c r="G11" s="217"/>
      <c r="H11" s="221"/>
      <c r="I11" s="222"/>
      <c r="K11" s="89"/>
      <c r="M11" s="206"/>
      <c r="N11" s="206"/>
      <c r="O11" s="207"/>
      <c r="P11" s="206"/>
      <c r="Q11" s="206"/>
      <c r="R11" s="206"/>
      <c r="S11" s="206"/>
      <c r="T11" s="206"/>
      <c r="U11" s="206"/>
      <c r="V11" s="206"/>
      <c r="W11" s="206"/>
      <c r="X11" s="206"/>
    </row>
    <row r="12" spans="1:24" ht="15.95">
      <c r="A12" s="4" t="s">
        <v>2</v>
      </c>
      <c r="B12" s="30" t="s">
        <v>483</v>
      </c>
      <c r="C12" s="30" t="s">
        <v>302</v>
      </c>
      <c r="D12" s="30" t="s">
        <v>247</v>
      </c>
      <c r="E12" s="59">
        <v>14</v>
      </c>
      <c r="F12" s="32">
        <v>46234</v>
      </c>
      <c r="G12" s="30" t="s">
        <v>261</v>
      </c>
      <c r="H12" s="60">
        <v>0.5</v>
      </c>
      <c r="I12" s="141">
        <f>E12*H12</f>
        <v>7</v>
      </c>
      <c r="J12" t="s">
        <v>484</v>
      </c>
      <c r="K12" s="89"/>
      <c r="M12" s="4"/>
      <c r="N12" s="123"/>
      <c r="O12" s="123"/>
      <c r="P12" s="123"/>
      <c r="Q12" s="4"/>
      <c r="R12" s="123"/>
      <c r="S12" s="123"/>
      <c r="T12" s="123"/>
      <c r="U12" s="123"/>
      <c r="V12" s="123"/>
      <c r="W12" s="123"/>
      <c r="X12" s="123"/>
    </row>
    <row r="13" spans="1:24">
      <c r="A13" s="206"/>
      <c r="B13" s="217"/>
      <c r="C13" s="218"/>
      <c r="D13" s="217"/>
      <c r="E13" s="219"/>
      <c r="F13" s="220"/>
      <c r="G13" s="217"/>
      <c r="H13" s="221"/>
      <c r="I13" s="222"/>
      <c r="K13" s="89"/>
      <c r="M13" s="206"/>
      <c r="N13" s="206"/>
      <c r="O13" s="207"/>
      <c r="P13" s="206"/>
      <c r="Q13" s="206"/>
      <c r="R13" s="206"/>
      <c r="S13" s="206"/>
      <c r="T13" s="206"/>
      <c r="U13" s="206"/>
      <c r="V13" s="206"/>
      <c r="W13" s="206"/>
      <c r="X13" s="206"/>
    </row>
    <row r="14" spans="1:24" ht="15.95">
      <c r="A14" s="4" t="s">
        <v>2</v>
      </c>
      <c r="B14" s="30" t="s">
        <v>464</v>
      </c>
      <c r="C14" s="30" t="s">
        <v>427</v>
      </c>
      <c r="D14" s="30" t="s">
        <v>247</v>
      </c>
      <c r="E14" s="59">
        <v>12</v>
      </c>
      <c r="F14" s="32">
        <v>46234</v>
      </c>
      <c r="G14" s="30" t="s">
        <v>243</v>
      </c>
      <c r="H14" s="60">
        <v>0.9</v>
      </c>
      <c r="I14" s="141">
        <f>E14*H14</f>
        <v>10.8</v>
      </c>
      <c r="J14" t="s">
        <v>484</v>
      </c>
      <c r="K14" s="89"/>
      <c r="M14" s="4"/>
      <c r="N14" s="123"/>
      <c r="O14" s="123"/>
      <c r="P14" s="123"/>
      <c r="Q14" s="4"/>
      <c r="R14" s="123"/>
      <c r="S14" s="123"/>
      <c r="T14" s="123"/>
      <c r="U14" s="123"/>
      <c r="V14" s="123"/>
      <c r="W14" s="123"/>
      <c r="X14" s="123"/>
    </row>
    <row r="15" spans="1:24">
      <c r="A15" s="206"/>
      <c r="B15" s="217"/>
      <c r="C15" s="218"/>
      <c r="D15" s="217"/>
      <c r="E15" s="219"/>
      <c r="F15" s="220"/>
      <c r="G15" s="217"/>
      <c r="H15" s="221"/>
      <c r="I15" s="222"/>
      <c r="K15" s="89"/>
      <c r="M15" s="206"/>
      <c r="N15" s="206"/>
      <c r="O15" s="207"/>
      <c r="P15" s="206"/>
      <c r="Q15" s="206"/>
      <c r="R15" s="206"/>
      <c r="S15" s="206"/>
      <c r="T15" s="206"/>
      <c r="U15" s="206"/>
      <c r="V15" s="206"/>
      <c r="W15" s="206"/>
      <c r="X15" s="206"/>
    </row>
    <row r="16" spans="1:24" ht="15.95">
      <c r="A16" s="4" t="s">
        <v>2</v>
      </c>
      <c r="B16" s="30" t="s">
        <v>467</v>
      </c>
      <c r="C16" s="30" t="s">
        <v>468</v>
      </c>
      <c r="D16" s="30" t="s">
        <v>247</v>
      </c>
      <c r="E16" s="31">
        <v>5</v>
      </c>
      <c r="F16" s="32">
        <v>46234</v>
      </c>
      <c r="G16" s="30" t="s">
        <v>239</v>
      </c>
      <c r="H16" s="33">
        <v>0.7</v>
      </c>
      <c r="I16" s="93">
        <f>E16*H16</f>
        <v>3.5</v>
      </c>
      <c r="J16" t="s">
        <v>484</v>
      </c>
      <c r="K16" s="8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>
      <c r="A17" s="206"/>
      <c r="B17" s="217"/>
      <c r="C17" s="218"/>
      <c r="D17" s="217"/>
      <c r="E17" s="219"/>
      <c r="F17" s="220"/>
      <c r="G17" s="217"/>
      <c r="H17" s="221"/>
      <c r="I17" s="222"/>
      <c r="K17" s="89"/>
      <c r="M17" s="206"/>
      <c r="N17" s="206"/>
      <c r="O17" s="207"/>
      <c r="P17" s="206"/>
      <c r="Q17" s="206"/>
      <c r="R17" s="206"/>
      <c r="S17" s="206"/>
      <c r="T17" s="206"/>
      <c r="U17" s="206"/>
      <c r="V17" s="206"/>
      <c r="W17" s="206"/>
      <c r="X17" s="206"/>
    </row>
    <row r="18" spans="1:24" ht="15.95">
      <c r="A18" s="4" t="s">
        <v>2</v>
      </c>
      <c r="B18" s="30" t="s">
        <v>440</v>
      </c>
      <c r="C18" s="30" t="s">
        <v>55</v>
      </c>
      <c r="D18" s="30" t="s">
        <v>242</v>
      </c>
      <c r="E18" s="59">
        <v>190</v>
      </c>
      <c r="F18" s="32">
        <v>46234</v>
      </c>
      <c r="G18" s="30" t="s">
        <v>239</v>
      </c>
      <c r="H18" s="60">
        <v>0.9</v>
      </c>
      <c r="I18" s="141">
        <f>E18*H18</f>
        <v>171</v>
      </c>
      <c r="J18" t="s">
        <v>485</v>
      </c>
      <c r="K18" s="89"/>
      <c r="M18" s="4"/>
      <c r="N18" s="123"/>
      <c r="O18" s="123"/>
      <c r="P18" s="123"/>
      <c r="Q18" s="4"/>
      <c r="R18" s="123"/>
      <c r="S18" s="123"/>
      <c r="T18" s="123"/>
      <c r="U18" s="123"/>
      <c r="V18" s="123"/>
      <c r="W18" s="123"/>
      <c r="X18" s="123"/>
    </row>
    <row r="19" spans="1:24">
      <c r="A19" s="206"/>
      <c r="B19" s="217"/>
      <c r="C19" s="218"/>
      <c r="D19" s="217"/>
      <c r="E19" s="219"/>
      <c r="F19" s="220"/>
      <c r="G19" s="217"/>
      <c r="H19" s="221"/>
      <c r="I19" s="222"/>
      <c r="K19" s="89"/>
      <c r="M19" s="206"/>
      <c r="N19" s="206"/>
      <c r="O19" s="207"/>
      <c r="P19" s="206"/>
      <c r="Q19" s="206"/>
      <c r="R19" s="206"/>
      <c r="S19" s="206"/>
      <c r="T19" s="206"/>
      <c r="U19" s="206"/>
      <c r="V19" s="206"/>
      <c r="W19" s="206"/>
      <c r="X19" s="206"/>
    </row>
    <row r="20" spans="1:24" ht="15.95">
      <c r="A20" s="4" t="s">
        <v>2</v>
      </c>
      <c r="B20" s="30" t="s">
        <v>369</v>
      </c>
      <c r="C20" s="30" t="s">
        <v>237</v>
      </c>
      <c r="D20" s="30" t="s">
        <v>247</v>
      </c>
      <c r="E20" s="31">
        <v>160</v>
      </c>
      <c r="F20" s="32">
        <v>46234</v>
      </c>
      <c r="G20" s="30" t="s">
        <v>261</v>
      </c>
      <c r="H20" s="33">
        <v>0.7</v>
      </c>
      <c r="I20" s="229">
        <f>E20*H20</f>
        <v>112</v>
      </c>
      <c r="K20" s="89"/>
      <c r="M20" s="4"/>
      <c r="N20" s="123">
        <f>I20*10%</f>
        <v>11.200000000000001</v>
      </c>
      <c r="O20" s="123"/>
      <c r="P20" s="123"/>
      <c r="Q20" s="4"/>
      <c r="R20" s="123"/>
      <c r="S20" s="123">
        <f>I20*60%</f>
        <v>67.2</v>
      </c>
      <c r="T20" s="123">
        <f>I20*30%</f>
        <v>33.6</v>
      </c>
      <c r="U20" s="123"/>
      <c r="V20" s="123"/>
      <c r="W20" s="123"/>
      <c r="X20" s="123"/>
    </row>
    <row r="21" spans="1:24">
      <c r="A21" s="131"/>
      <c r="B21" s="132"/>
      <c r="C21" s="132"/>
      <c r="D21" s="132"/>
      <c r="E21" s="133"/>
      <c r="F21" s="134"/>
      <c r="G21" s="132"/>
      <c r="H21" s="135"/>
      <c r="I21" s="136"/>
      <c r="M21" s="136">
        <f>H20*1.4</f>
        <v>0.97999999999999987</v>
      </c>
      <c r="N21" s="136">
        <f>H20*0.3</f>
        <v>0.21</v>
      </c>
      <c r="O21" s="205"/>
      <c r="P21" s="136"/>
      <c r="Q21" s="136">
        <f>H20*9.2</f>
        <v>6.4399999999999995</v>
      </c>
      <c r="R21" s="136">
        <f>H20*1.1</f>
        <v>0.77</v>
      </c>
      <c r="S21" s="136">
        <f>H20*18</f>
        <v>12.6</v>
      </c>
      <c r="T21" s="136"/>
      <c r="U21" s="136"/>
      <c r="V21" s="136"/>
      <c r="W21" s="136"/>
      <c r="X21" s="136"/>
    </row>
    <row r="22" spans="1:24" ht="15.95">
      <c r="A22" s="4" t="s">
        <v>2</v>
      </c>
      <c r="B22" s="30" t="s">
        <v>298</v>
      </c>
      <c r="C22" s="30" t="s">
        <v>299</v>
      </c>
      <c r="D22" s="30" t="s">
        <v>282</v>
      </c>
      <c r="E22" s="59">
        <v>8</v>
      </c>
      <c r="F22" s="32">
        <v>46234</v>
      </c>
      <c r="G22" s="30" t="s">
        <v>261</v>
      </c>
      <c r="H22" s="60">
        <v>0.3</v>
      </c>
      <c r="I22" s="141">
        <f>E22*H22</f>
        <v>2.4</v>
      </c>
      <c r="K22" s="89"/>
      <c r="M22" s="4"/>
      <c r="N22" s="123"/>
      <c r="O22" s="123"/>
      <c r="P22" s="123"/>
      <c r="Q22" s="4"/>
      <c r="R22" s="123"/>
      <c r="S22" s="123"/>
      <c r="T22" s="123"/>
      <c r="U22" s="123"/>
      <c r="V22" s="123"/>
      <c r="W22" s="123"/>
      <c r="X22" s="123"/>
    </row>
    <row r="23" spans="1:24">
      <c r="A23" s="206"/>
      <c r="B23" s="217"/>
      <c r="C23" s="218"/>
      <c r="D23" s="217"/>
      <c r="E23" s="219"/>
      <c r="F23" s="220"/>
      <c r="G23" s="217"/>
      <c r="H23" s="221"/>
      <c r="I23" s="222"/>
      <c r="K23" s="89"/>
      <c r="M23" s="206"/>
      <c r="N23" s="206"/>
      <c r="O23" s="207"/>
      <c r="P23" s="206"/>
      <c r="Q23" s="206"/>
      <c r="R23" s="206"/>
      <c r="S23" s="206"/>
      <c r="T23" s="206"/>
      <c r="U23" s="206"/>
      <c r="V23" s="206"/>
      <c r="W23" s="206"/>
      <c r="X23" s="206"/>
    </row>
    <row r="24" spans="1:24" ht="15.95">
      <c r="A24" s="4" t="s">
        <v>21</v>
      </c>
      <c r="B24" s="30" t="s">
        <v>486</v>
      </c>
      <c r="C24" s="30" t="s">
        <v>487</v>
      </c>
      <c r="D24" s="30" t="s">
        <v>238</v>
      </c>
      <c r="E24" s="31">
        <v>10</v>
      </c>
      <c r="F24" s="32">
        <v>46234</v>
      </c>
      <c r="G24" s="30" t="s">
        <v>261</v>
      </c>
      <c r="H24" s="33">
        <v>0.6</v>
      </c>
      <c r="I24" s="93">
        <f>E24*H24</f>
        <v>6</v>
      </c>
      <c r="K24" s="8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206"/>
      <c r="B25" s="217"/>
      <c r="C25" s="218"/>
      <c r="D25" s="217"/>
      <c r="E25" s="219"/>
      <c r="F25" s="220"/>
      <c r="G25" s="217"/>
      <c r="H25" s="221"/>
      <c r="I25" s="222"/>
      <c r="K25" s="89"/>
      <c r="M25" s="206"/>
      <c r="N25" s="206"/>
      <c r="O25" s="207"/>
      <c r="P25" s="206"/>
      <c r="Q25" s="206"/>
      <c r="R25" s="206"/>
      <c r="S25" s="206"/>
      <c r="T25" s="206"/>
      <c r="U25" s="206"/>
      <c r="V25" s="206"/>
      <c r="W25" s="206"/>
      <c r="X25" s="206"/>
    </row>
    <row r="26" spans="1:24" ht="15.95">
      <c r="A26" s="4" t="s">
        <v>21</v>
      </c>
      <c r="B26" s="30" t="s">
        <v>486</v>
      </c>
      <c r="C26" s="30" t="s">
        <v>488</v>
      </c>
      <c r="D26" s="30" t="s">
        <v>238</v>
      </c>
      <c r="E26" s="31">
        <v>6</v>
      </c>
      <c r="F26" s="32">
        <v>46234</v>
      </c>
      <c r="G26" s="30" t="s">
        <v>261</v>
      </c>
      <c r="H26" s="33">
        <v>0.6</v>
      </c>
      <c r="I26" s="93">
        <f>E26*H26</f>
        <v>3.5999999999999996</v>
      </c>
      <c r="K26" s="8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>
      <c r="A27" s="206"/>
      <c r="B27" s="217"/>
      <c r="C27" s="218"/>
      <c r="D27" s="217"/>
      <c r="E27" s="219"/>
      <c r="F27" s="220"/>
      <c r="G27" s="217"/>
      <c r="H27" s="221"/>
      <c r="I27" s="222"/>
      <c r="K27" s="89"/>
      <c r="M27" s="206"/>
      <c r="N27" s="206"/>
      <c r="O27" s="207"/>
      <c r="P27" s="206"/>
      <c r="Q27" s="206"/>
      <c r="R27" s="206"/>
      <c r="S27" s="206"/>
      <c r="T27" s="206"/>
      <c r="U27" s="206"/>
      <c r="V27" s="206"/>
      <c r="W27" s="206"/>
      <c r="X27" s="206"/>
    </row>
    <row r="28" spans="1:24" ht="15.95">
      <c r="A28" s="4" t="s">
        <v>21</v>
      </c>
      <c r="B28" s="30" t="s">
        <v>486</v>
      </c>
      <c r="C28" s="30" t="s">
        <v>205</v>
      </c>
      <c r="D28" s="30" t="s">
        <v>238</v>
      </c>
      <c r="E28" s="31">
        <v>8</v>
      </c>
      <c r="F28" s="32">
        <v>46234</v>
      </c>
      <c r="G28" s="30" t="s">
        <v>261</v>
      </c>
      <c r="H28" s="33">
        <v>0.6</v>
      </c>
      <c r="I28" s="93">
        <f>E28*H28</f>
        <v>4.8</v>
      </c>
      <c r="K28" s="8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>
      <c r="A29" s="206"/>
      <c r="B29" s="217"/>
      <c r="C29" s="218"/>
      <c r="D29" s="217"/>
      <c r="E29" s="219"/>
      <c r="F29" s="220"/>
      <c r="G29" s="217"/>
      <c r="H29" s="221"/>
      <c r="I29" s="222"/>
      <c r="K29" s="89"/>
      <c r="M29" s="206"/>
      <c r="N29" s="206"/>
      <c r="O29" s="207"/>
      <c r="P29" s="206"/>
      <c r="Q29" s="206"/>
      <c r="R29" s="206"/>
      <c r="S29" s="206"/>
      <c r="T29" s="206"/>
      <c r="U29" s="206"/>
      <c r="V29" s="206"/>
      <c r="W29" s="206"/>
      <c r="X29" s="206"/>
    </row>
    <row r="30" spans="1:24" ht="15.95">
      <c r="A30" s="4" t="s">
        <v>21</v>
      </c>
      <c r="B30" s="30" t="s">
        <v>486</v>
      </c>
      <c r="C30" s="30" t="s">
        <v>489</v>
      </c>
      <c r="D30" s="30" t="s">
        <v>238</v>
      </c>
      <c r="E30" s="31">
        <v>13</v>
      </c>
      <c r="F30" s="32">
        <v>46234</v>
      </c>
      <c r="G30" s="30" t="s">
        <v>261</v>
      </c>
      <c r="H30" s="33">
        <v>0.6</v>
      </c>
      <c r="I30" s="93">
        <f>E30*H30</f>
        <v>7.8</v>
      </c>
      <c r="K30" s="8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>
      <c r="A31" s="206"/>
      <c r="B31" s="217"/>
      <c r="C31" s="218"/>
      <c r="D31" s="217"/>
      <c r="E31" s="219"/>
      <c r="F31" s="220"/>
      <c r="G31" s="217"/>
      <c r="H31" s="221"/>
      <c r="I31" s="222"/>
      <c r="K31" s="89"/>
      <c r="M31" s="206"/>
      <c r="N31" s="206"/>
      <c r="O31" s="207"/>
      <c r="P31" s="206"/>
      <c r="Q31" s="206"/>
      <c r="R31" s="206"/>
      <c r="S31" s="206"/>
      <c r="T31" s="206"/>
      <c r="U31" s="206"/>
      <c r="V31" s="206"/>
      <c r="W31" s="206"/>
      <c r="X31" s="206"/>
    </row>
    <row r="32" spans="1:24" ht="15.95">
      <c r="A32" s="4" t="s">
        <v>21</v>
      </c>
      <c r="B32" s="30" t="s">
        <v>486</v>
      </c>
      <c r="C32" s="30" t="s">
        <v>487</v>
      </c>
      <c r="D32" s="30" t="s">
        <v>238</v>
      </c>
      <c r="E32" s="31">
        <v>3</v>
      </c>
      <c r="F32" s="32">
        <v>46234</v>
      </c>
      <c r="G32" s="30" t="s">
        <v>261</v>
      </c>
      <c r="H32" s="33">
        <v>0.6</v>
      </c>
      <c r="I32" s="93">
        <f>E32*H32</f>
        <v>1.7999999999999998</v>
      </c>
      <c r="K32" s="8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6">
      <c r="A33" s="206"/>
      <c r="B33" s="217"/>
      <c r="C33" s="218"/>
      <c r="D33" s="217"/>
      <c r="E33" s="219"/>
      <c r="F33" s="220"/>
      <c r="G33" s="217"/>
      <c r="H33" s="221"/>
      <c r="I33" s="222"/>
      <c r="K33" s="89"/>
      <c r="M33" s="206"/>
      <c r="N33" s="206"/>
      <c r="O33" s="207"/>
      <c r="P33" s="206"/>
      <c r="Q33" s="206"/>
      <c r="R33" s="206"/>
      <c r="S33" s="206"/>
      <c r="T33" s="206"/>
      <c r="U33" s="206"/>
      <c r="V33" s="206"/>
      <c r="W33" s="206"/>
      <c r="X33" s="206"/>
    </row>
    <row r="34" spans="1:26" ht="15.95">
      <c r="A34" s="4" t="s">
        <v>147</v>
      </c>
      <c r="B34" s="30" t="s">
        <v>490</v>
      </c>
      <c r="C34" s="30" t="s">
        <v>100</v>
      </c>
      <c r="D34" s="30" t="s">
        <v>242</v>
      </c>
      <c r="E34" s="31">
        <v>31</v>
      </c>
      <c r="F34" s="32">
        <v>46234</v>
      </c>
      <c r="G34" s="30" t="s">
        <v>243</v>
      </c>
      <c r="H34" s="33">
        <v>0.7</v>
      </c>
      <c r="I34" s="229">
        <f>E34*H34</f>
        <v>21.7</v>
      </c>
      <c r="K34" s="89"/>
      <c r="M34" s="123">
        <f>$I$34/24</f>
        <v>0.90416666666666667</v>
      </c>
      <c r="N34" s="123">
        <f t="shared" ref="N34:X34" si="0">$I$34/24</f>
        <v>0.90416666666666667</v>
      </c>
      <c r="O34" s="123">
        <f t="shared" si="0"/>
        <v>0.90416666666666667</v>
      </c>
      <c r="P34" s="123">
        <f t="shared" si="0"/>
        <v>0.90416666666666667</v>
      </c>
      <c r="Q34" s="123">
        <f t="shared" si="0"/>
        <v>0.90416666666666667</v>
      </c>
      <c r="R34" s="123">
        <f t="shared" si="0"/>
        <v>0.90416666666666667</v>
      </c>
      <c r="S34" s="123">
        <f t="shared" si="0"/>
        <v>0.90416666666666667</v>
      </c>
      <c r="T34" s="123">
        <f t="shared" si="0"/>
        <v>0.90416666666666667</v>
      </c>
      <c r="U34" s="123">
        <f t="shared" si="0"/>
        <v>0.90416666666666667</v>
      </c>
      <c r="V34" s="123">
        <f t="shared" si="0"/>
        <v>0.90416666666666667</v>
      </c>
      <c r="W34" s="123">
        <f t="shared" si="0"/>
        <v>0.90416666666666667</v>
      </c>
      <c r="X34" s="123">
        <f t="shared" si="0"/>
        <v>0.90416666666666667</v>
      </c>
    </row>
    <row r="35" spans="1:26">
      <c r="A35" s="208"/>
      <c r="B35" s="210"/>
      <c r="C35" s="215"/>
      <c r="D35" s="210"/>
      <c r="E35" s="211"/>
      <c r="F35" s="216"/>
      <c r="G35" s="210"/>
      <c r="H35" s="212"/>
      <c r="I35" s="213"/>
      <c r="K35"/>
      <c r="M35" s="208"/>
      <c r="N35" s="208"/>
      <c r="O35" s="209"/>
      <c r="P35" s="208"/>
      <c r="Q35" s="208"/>
      <c r="R35" s="208"/>
      <c r="S35" s="208"/>
      <c r="T35" s="208"/>
      <c r="U35" s="208"/>
      <c r="V35" s="208"/>
      <c r="W35" s="208"/>
      <c r="X35" s="208"/>
    </row>
    <row r="36" spans="1:26" ht="15.95">
      <c r="A36" s="4" t="s">
        <v>147</v>
      </c>
      <c r="B36" s="30" t="s">
        <v>491</v>
      </c>
      <c r="C36" s="30" t="s">
        <v>410</v>
      </c>
      <c r="D36" s="30" t="s">
        <v>247</v>
      </c>
      <c r="E36" s="31">
        <v>8</v>
      </c>
      <c r="F36" s="32">
        <v>46234</v>
      </c>
      <c r="G36" s="30" t="s">
        <v>261</v>
      </c>
      <c r="H36" s="33">
        <v>0.7</v>
      </c>
      <c r="I36" s="93">
        <f>E36*H36</f>
        <v>5.6</v>
      </c>
      <c r="J36" t="s">
        <v>484</v>
      </c>
      <c r="K36" s="8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6">
      <c r="A37" s="206"/>
      <c r="B37" s="217"/>
      <c r="C37" s="218"/>
      <c r="D37" s="217"/>
      <c r="E37" s="219"/>
      <c r="F37" s="220"/>
      <c r="G37" s="217"/>
      <c r="H37" s="221"/>
      <c r="I37" s="222"/>
      <c r="K37" s="89"/>
      <c r="M37" s="206"/>
      <c r="N37" s="206"/>
      <c r="O37" s="207"/>
      <c r="P37" s="206"/>
      <c r="Q37" s="206"/>
      <c r="R37" s="206"/>
      <c r="S37" s="206"/>
      <c r="T37" s="206"/>
      <c r="U37" s="206"/>
      <c r="V37" s="206"/>
      <c r="W37" s="206"/>
      <c r="X37" s="206"/>
    </row>
    <row r="38" spans="1:26" ht="15.95">
      <c r="A38" s="4" t="s">
        <v>147</v>
      </c>
      <c r="B38" s="30" t="s">
        <v>492</v>
      </c>
      <c r="C38" s="30" t="s">
        <v>493</v>
      </c>
      <c r="D38" s="30" t="s">
        <v>247</v>
      </c>
      <c r="E38" s="31">
        <v>1</v>
      </c>
      <c r="F38" s="32">
        <v>46234</v>
      </c>
      <c r="G38" s="30" t="s">
        <v>261</v>
      </c>
      <c r="H38" s="33">
        <v>1</v>
      </c>
      <c r="I38" s="93">
        <f>E38*H38</f>
        <v>1</v>
      </c>
      <c r="J38" t="s">
        <v>484</v>
      </c>
      <c r="K38" s="8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6">
      <c r="A39" s="206"/>
      <c r="B39" s="217"/>
      <c r="C39" s="218"/>
      <c r="D39" s="217"/>
      <c r="E39" s="219"/>
      <c r="F39" s="220"/>
      <c r="G39" s="217"/>
      <c r="H39" s="221"/>
      <c r="I39" s="222"/>
      <c r="K39" s="89"/>
      <c r="M39" s="206"/>
      <c r="N39" s="206"/>
      <c r="O39" s="207"/>
      <c r="P39" s="206"/>
      <c r="Q39" s="206"/>
      <c r="R39" s="206"/>
      <c r="S39" s="206"/>
      <c r="T39" s="206"/>
      <c r="U39" s="206"/>
      <c r="V39" s="206"/>
      <c r="W39" s="206"/>
      <c r="X39" s="206"/>
    </row>
    <row r="40" spans="1:26" ht="15.95">
      <c r="A40" s="4" t="s">
        <v>147</v>
      </c>
      <c r="B40" s="30" t="s">
        <v>494</v>
      </c>
      <c r="C40" s="30" t="s">
        <v>495</v>
      </c>
      <c r="D40" s="30" t="s">
        <v>242</v>
      </c>
      <c r="E40" s="31">
        <v>158</v>
      </c>
      <c r="F40" s="32">
        <v>46234</v>
      </c>
      <c r="G40" s="30" t="s">
        <v>261</v>
      </c>
      <c r="H40" s="33">
        <v>0.3</v>
      </c>
      <c r="I40" s="93">
        <f>E40*H40</f>
        <v>47.4</v>
      </c>
      <c r="J40" t="s">
        <v>496</v>
      </c>
      <c r="K40" s="8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6">
      <c r="A41" s="206"/>
      <c r="B41" s="217"/>
      <c r="C41" s="218"/>
      <c r="D41" s="217"/>
      <c r="E41" s="219"/>
      <c r="F41" s="220"/>
      <c r="G41" s="217"/>
      <c r="H41" s="221"/>
      <c r="I41" s="222"/>
      <c r="K41" s="89"/>
      <c r="M41" s="206"/>
      <c r="N41" s="206"/>
      <c r="O41" s="207"/>
      <c r="P41" s="206"/>
      <c r="Q41" s="206"/>
      <c r="R41" s="206"/>
      <c r="S41" s="206"/>
      <c r="T41" s="206"/>
      <c r="U41" s="206"/>
      <c r="V41" s="206"/>
      <c r="W41" s="206"/>
      <c r="X41" s="206"/>
    </row>
    <row r="42" spans="1:26" ht="15.95">
      <c r="A42" s="4" t="s">
        <v>2</v>
      </c>
      <c r="B42" s="30" t="s">
        <v>361</v>
      </c>
      <c r="C42" s="30" t="s">
        <v>362</v>
      </c>
      <c r="D42" s="30" t="s">
        <v>282</v>
      </c>
      <c r="E42" s="59">
        <v>60</v>
      </c>
      <c r="F42" s="32">
        <v>46262</v>
      </c>
      <c r="G42" s="30" t="s">
        <v>252</v>
      </c>
      <c r="H42" s="60">
        <v>0.3</v>
      </c>
      <c r="I42" s="141">
        <f>E42*H42</f>
        <v>18</v>
      </c>
      <c r="K42"/>
      <c r="M42" s="4"/>
      <c r="N42" s="123"/>
      <c r="O42" s="123"/>
      <c r="P42" s="123"/>
      <c r="Q42" s="4"/>
      <c r="R42" s="123"/>
      <c r="S42" s="123"/>
      <c r="T42" s="123"/>
      <c r="U42" s="123"/>
      <c r="V42" s="123"/>
      <c r="W42" s="123"/>
      <c r="X42" s="123"/>
    </row>
    <row r="43" spans="1:26">
      <c r="A43" s="206"/>
      <c r="B43" s="217"/>
      <c r="C43" s="218"/>
      <c r="D43" s="217"/>
      <c r="E43" s="219"/>
      <c r="F43" s="220"/>
      <c r="G43" s="217"/>
      <c r="H43" s="221"/>
      <c r="I43" s="222"/>
      <c r="K43"/>
      <c r="M43" s="206"/>
      <c r="N43" s="206"/>
      <c r="O43" s="207"/>
      <c r="P43" s="206"/>
      <c r="Q43" s="206"/>
      <c r="R43" s="206"/>
      <c r="S43" s="206"/>
      <c r="T43" s="206"/>
      <c r="U43" s="206"/>
      <c r="V43" s="206"/>
      <c r="W43" s="206"/>
      <c r="X43" s="206"/>
    </row>
    <row r="44" spans="1:26" ht="15.95">
      <c r="A44" s="4" t="s">
        <v>2</v>
      </c>
      <c r="B44" s="30" t="s">
        <v>359</v>
      </c>
      <c r="C44" s="182" t="s">
        <v>39</v>
      </c>
      <c r="D44" s="30" t="s">
        <v>247</v>
      </c>
      <c r="E44" s="59">
        <v>130</v>
      </c>
      <c r="F44" s="32">
        <v>46262</v>
      </c>
      <c r="G44" s="30" t="s">
        <v>243</v>
      </c>
      <c r="H44" s="60">
        <v>0.9</v>
      </c>
      <c r="I44" s="141">
        <f>E44*H44</f>
        <v>117</v>
      </c>
      <c r="J44" t="s">
        <v>496</v>
      </c>
      <c r="K44"/>
      <c r="M44" s="123"/>
      <c r="N44" s="123"/>
      <c r="O44" s="123"/>
      <c r="P44" s="123"/>
      <c r="Q44" s="123"/>
      <c r="R44" s="4"/>
      <c r="S44" s="4"/>
      <c r="T44" s="4"/>
      <c r="U44" s="4"/>
      <c r="V44" s="4"/>
      <c r="W44" s="4"/>
      <c r="X44" s="4"/>
    </row>
    <row r="45" spans="1:26">
      <c r="A45" s="206"/>
      <c r="B45" s="217"/>
      <c r="C45" s="218"/>
      <c r="D45" s="217"/>
      <c r="E45" s="219"/>
      <c r="F45" s="220"/>
      <c r="G45" s="217"/>
      <c r="H45" s="221"/>
      <c r="I45" s="222"/>
      <c r="K45"/>
      <c r="M45" s="206"/>
      <c r="N45" s="206"/>
      <c r="O45" s="207"/>
      <c r="P45" s="206"/>
      <c r="Q45" s="206"/>
      <c r="R45" s="206"/>
      <c r="S45" s="206"/>
      <c r="T45" s="206"/>
      <c r="U45" s="206"/>
      <c r="V45" s="206"/>
      <c r="W45" s="206"/>
      <c r="X45" s="206"/>
    </row>
    <row r="46" spans="1:26" ht="15.95">
      <c r="A46" s="4" t="s">
        <v>21</v>
      </c>
      <c r="B46" s="30" t="s">
        <v>497</v>
      </c>
      <c r="C46" s="30" t="s">
        <v>237</v>
      </c>
      <c r="D46" s="30" t="s">
        <v>238</v>
      </c>
      <c r="E46" s="31">
        <v>150</v>
      </c>
      <c r="F46" s="32">
        <v>46262</v>
      </c>
      <c r="G46" s="30" t="s">
        <v>261</v>
      </c>
      <c r="H46" s="33">
        <v>0.3</v>
      </c>
      <c r="I46" s="229">
        <f>E46*H46</f>
        <v>45</v>
      </c>
      <c r="M46" s="4"/>
      <c r="N46" s="4"/>
      <c r="O46" s="123">
        <f>I46*72%*15%</f>
        <v>4.8599999999999994</v>
      </c>
      <c r="P46" s="4"/>
      <c r="Q46" s="123">
        <f>I46*72%*15%</f>
        <v>4.8599999999999994</v>
      </c>
      <c r="R46" s="123">
        <f>I46*72%*20%</f>
        <v>6.48</v>
      </c>
      <c r="S46" s="4"/>
      <c r="T46" s="4"/>
      <c r="U46" s="4"/>
      <c r="V46" s="123">
        <f>I46*72%*25%</f>
        <v>8.1</v>
      </c>
      <c r="W46" s="123">
        <f>I46*72%*10%</f>
        <v>3.24</v>
      </c>
      <c r="X46" s="123">
        <f>I46*72%*10%</f>
        <v>3.24</v>
      </c>
      <c r="Y46" s="123">
        <f>I46*72%*10%</f>
        <v>3.24</v>
      </c>
      <c r="Z46" s="123"/>
    </row>
    <row r="47" spans="1:26">
      <c r="A47" s="131"/>
      <c r="B47" s="132"/>
      <c r="C47" s="198"/>
      <c r="D47" s="132"/>
      <c r="E47" s="133"/>
      <c r="F47" s="226"/>
      <c r="G47" s="132"/>
      <c r="H47" s="135"/>
      <c r="I47" s="136"/>
      <c r="K47"/>
      <c r="M47" s="131"/>
      <c r="N47" s="131"/>
      <c r="O47" s="163">
        <f>H46*4.1</f>
        <v>1.2299999999999998</v>
      </c>
      <c r="P47" s="163"/>
      <c r="Q47" s="163"/>
      <c r="R47" s="163"/>
      <c r="S47" s="163">
        <f>H46*7</f>
        <v>2.1</v>
      </c>
      <c r="T47" s="163">
        <f>H46*4.5</f>
        <v>1.3499999999999999</v>
      </c>
      <c r="U47" s="163">
        <f>H46*35.1</f>
        <v>10.53</v>
      </c>
      <c r="V47" s="163">
        <f>H46*10.8</f>
        <v>3.24</v>
      </c>
      <c r="W47" s="163">
        <f>H46*3.5</f>
        <v>1.05</v>
      </c>
      <c r="X47" s="163">
        <f>H46*23</f>
        <v>6.8999999999999995</v>
      </c>
      <c r="Y47" s="163">
        <f>H46*2.6</f>
        <v>0.78</v>
      </c>
      <c r="Z47" s="163">
        <f>H46*3.5</f>
        <v>1.05</v>
      </c>
    </row>
    <row r="48" spans="1:26" ht="15.95">
      <c r="A48" s="4" t="s">
        <v>21</v>
      </c>
      <c r="B48" s="30" t="s">
        <v>498</v>
      </c>
      <c r="C48" s="30" t="s">
        <v>449</v>
      </c>
      <c r="D48" s="30" t="s">
        <v>238</v>
      </c>
      <c r="E48" s="31">
        <v>55</v>
      </c>
      <c r="F48" s="32">
        <v>46262</v>
      </c>
      <c r="G48" s="30" t="s">
        <v>261</v>
      </c>
      <c r="H48" s="33">
        <v>0.25</v>
      </c>
      <c r="I48" s="93">
        <f>E48*H48</f>
        <v>13.75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8">
      <c r="A49" s="206"/>
      <c r="B49" s="217"/>
      <c r="C49" s="218"/>
      <c r="D49" s="217"/>
      <c r="E49" s="219"/>
      <c r="F49" s="220"/>
      <c r="G49" s="217"/>
      <c r="H49" s="221"/>
      <c r="I49" s="222"/>
      <c r="K49"/>
      <c r="M49" s="206"/>
      <c r="N49" s="206"/>
      <c r="O49" s="207"/>
      <c r="P49" s="206"/>
      <c r="Q49" s="206"/>
      <c r="R49" s="206"/>
      <c r="S49" s="206"/>
      <c r="T49" s="206"/>
      <c r="U49" s="206"/>
      <c r="V49" s="206"/>
      <c r="W49" s="206"/>
      <c r="X49" s="206"/>
    </row>
    <row r="50" spans="1:28" ht="15.95">
      <c r="A50" s="4" t="s">
        <v>21</v>
      </c>
      <c r="B50" s="30" t="s">
        <v>499</v>
      </c>
      <c r="C50" s="30" t="s">
        <v>500</v>
      </c>
      <c r="D50" s="30" t="s">
        <v>238</v>
      </c>
      <c r="E50" s="31">
        <v>60</v>
      </c>
      <c r="F50" s="32">
        <v>46262</v>
      </c>
      <c r="G50" s="30" t="s">
        <v>331</v>
      </c>
      <c r="H50" s="33">
        <v>0.3</v>
      </c>
      <c r="I50" s="93">
        <f>E50*H50*$L$1</f>
        <v>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8">
      <c r="A51" s="206"/>
      <c r="B51" s="217"/>
      <c r="C51" s="218"/>
      <c r="D51" s="217"/>
      <c r="E51" s="219"/>
      <c r="F51" s="220"/>
      <c r="G51" s="217"/>
      <c r="H51" s="221"/>
      <c r="I51" s="222"/>
      <c r="K51"/>
      <c r="M51" s="206"/>
      <c r="N51" s="206"/>
      <c r="O51" s="207"/>
      <c r="P51" s="206"/>
      <c r="Q51" s="206"/>
      <c r="R51" s="206"/>
      <c r="S51" s="206"/>
      <c r="T51" s="206"/>
      <c r="U51" s="206"/>
      <c r="V51" s="206"/>
      <c r="W51" s="206"/>
      <c r="X51" s="206"/>
    </row>
    <row r="52" spans="1:28" ht="15.95">
      <c r="A52" s="4" t="s">
        <v>2</v>
      </c>
      <c r="B52" s="30" t="s">
        <v>442</v>
      </c>
      <c r="C52" s="30" t="s">
        <v>338</v>
      </c>
      <c r="D52" s="30" t="s">
        <v>247</v>
      </c>
      <c r="E52" s="59">
        <v>300</v>
      </c>
      <c r="F52" s="32">
        <v>46265</v>
      </c>
      <c r="G52" s="30" t="s">
        <v>261</v>
      </c>
      <c r="H52" s="60">
        <v>0.3</v>
      </c>
      <c r="I52" s="229">
        <f>E52*H52</f>
        <v>90</v>
      </c>
      <c r="M52" s="4"/>
      <c r="N52" s="123"/>
      <c r="O52" s="123">
        <f>I52*20%</f>
        <v>18</v>
      </c>
      <c r="P52" s="123">
        <f>I52*10%</f>
        <v>9</v>
      </c>
      <c r="Q52" s="123">
        <f>I52*15%</f>
        <v>13.5</v>
      </c>
      <c r="R52" s="123">
        <f>I52*5%</f>
        <v>4.5</v>
      </c>
      <c r="S52" s="123"/>
      <c r="T52" s="123"/>
      <c r="U52" s="123">
        <f>I52*21%</f>
        <v>18.899999999999999</v>
      </c>
      <c r="V52" s="123">
        <f>I52*9%</f>
        <v>8.1</v>
      </c>
      <c r="W52" s="123">
        <f>I52*20%</f>
        <v>18</v>
      </c>
      <c r="X52" s="123"/>
    </row>
    <row r="53" spans="1:28">
      <c r="A53" s="131"/>
      <c r="B53" s="132"/>
      <c r="C53" s="132"/>
      <c r="D53" s="132"/>
      <c r="E53" s="133"/>
      <c r="F53" s="134"/>
      <c r="G53" s="132"/>
      <c r="H53" s="135"/>
      <c r="I53" s="136"/>
      <c r="M53" s="136"/>
      <c r="N53" s="136"/>
      <c r="O53" s="205"/>
      <c r="P53" s="136">
        <f>H52*1</f>
        <v>0.3</v>
      </c>
      <c r="Q53" s="136"/>
      <c r="R53" s="136">
        <f>H52*10</f>
        <v>3</v>
      </c>
      <c r="S53" s="136">
        <f>H52*20</f>
        <v>6</v>
      </c>
      <c r="T53" s="136">
        <f>H52*76</f>
        <v>22.8</v>
      </c>
      <c r="U53" s="136">
        <f>H52*4.2</f>
        <v>1.26</v>
      </c>
      <c r="V53" s="136">
        <f>H52*4</f>
        <v>1.2</v>
      </c>
      <c r="W53" s="136"/>
      <c r="X53" s="136">
        <f>H52*44</f>
        <v>13.2</v>
      </c>
    </row>
    <row r="54" spans="1:28" ht="15.95">
      <c r="A54" s="4" t="s">
        <v>2</v>
      </c>
      <c r="B54" s="30" t="s">
        <v>501</v>
      </c>
      <c r="C54" s="30" t="s">
        <v>502</v>
      </c>
      <c r="D54" s="30" t="s">
        <v>242</v>
      </c>
      <c r="E54" s="31">
        <v>220</v>
      </c>
      <c r="F54" s="32">
        <v>46265</v>
      </c>
      <c r="G54" s="30" t="s">
        <v>331</v>
      </c>
      <c r="H54" s="33">
        <v>0.3</v>
      </c>
      <c r="I54" s="93">
        <f>E54*H54*$L$1</f>
        <v>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8">
      <c r="A55" s="206"/>
      <c r="B55" s="217"/>
      <c r="C55" s="218"/>
      <c r="D55" s="217"/>
      <c r="E55" s="219"/>
      <c r="F55" s="220"/>
      <c r="G55" s="217"/>
      <c r="H55" s="221"/>
      <c r="I55" s="222"/>
      <c r="K55"/>
      <c r="M55" s="206"/>
      <c r="N55" s="206"/>
      <c r="O55" s="207"/>
      <c r="P55" s="206"/>
      <c r="Q55" s="206"/>
      <c r="R55" s="206"/>
      <c r="S55" s="206"/>
      <c r="T55" s="206"/>
      <c r="U55" s="206"/>
      <c r="V55" s="206"/>
      <c r="W55" s="206"/>
      <c r="X55" s="206"/>
    </row>
    <row r="56" spans="1:28" ht="15.95">
      <c r="A56" s="4" t="s">
        <v>2</v>
      </c>
      <c r="B56" s="30" t="s">
        <v>342</v>
      </c>
      <c r="C56" s="30" t="s">
        <v>448</v>
      </c>
      <c r="D56" s="30" t="s">
        <v>282</v>
      </c>
      <c r="E56" s="31">
        <v>5</v>
      </c>
      <c r="F56" s="32">
        <v>46265</v>
      </c>
      <c r="G56" s="30" t="s">
        <v>261</v>
      </c>
      <c r="H56" s="33">
        <v>0.9</v>
      </c>
      <c r="I56" s="93">
        <f>E56*H56</f>
        <v>4.5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8">
      <c r="A57" s="206"/>
      <c r="B57" s="217"/>
      <c r="C57" s="218"/>
      <c r="D57" s="217"/>
      <c r="E57" s="219"/>
      <c r="F57" s="220"/>
      <c r="G57" s="217"/>
      <c r="H57" s="221"/>
      <c r="I57" s="222"/>
      <c r="K57"/>
      <c r="M57" s="206"/>
      <c r="N57" s="206"/>
      <c r="O57" s="207"/>
      <c r="P57" s="206"/>
      <c r="Q57" s="206"/>
      <c r="R57" s="206"/>
      <c r="S57" s="206"/>
      <c r="T57" s="206"/>
      <c r="U57" s="206"/>
      <c r="V57" s="206"/>
      <c r="W57" s="206"/>
      <c r="X57" s="206"/>
    </row>
    <row r="58" spans="1:28" ht="15.95">
      <c r="A58" s="4" t="s">
        <v>2</v>
      </c>
      <c r="B58" s="30" t="s">
        <v>503</v>
      </c>
      <c r="C58" s="30" t="s">
        <v>504</v>
      </c>
      <c r="D58" s="30" t="s">
        <v>247</v>
      </c>
      <c r="E58" s="59">
        <v>50</v>
      </c>
      <c r="F58" s="32">
        <v>46265</v>
      </c>
      <c r="G58" s="30" t="s">
        <v>261</v>
      </c>
      <c r="H58" s="60">
        <v>0.5</v>
      </c>
      <c r="I58" s="229">
        <f>E58*H58</f>
        <v>25</v>
      </c>
      <c r="M58" s="4"/>
      <c r="N58" s="123"/>
      <c r="O58" s="123">
        <f>I58*23%*15%+I58*37%*20%</f>
        <v>2.7124999999999999</v>
      </c>
      <c r="P58" s="123">
        <f>I58*23%*25%+I58*25%</f>
        <v>7.6875</v>
      </c>
      <c r="Q58" s="123">
        <f>I58*23%*40%+I58*37%*80%+I58*14%</f>
        <v>13.200000000000001</v>
      </c>
      <c r="R58" s="123">
        <f>I58*23%*15%</f>
        <v>0.86249999999999993</v>
      </c>
      <c r="S58" s="123">
        <f>I58*23%*5%</f>
        <v>0.28750000000000003</v>
      </c>
      <c r="T58" s="123"/>
      <c r="U58" s="123"/>
      <c r="V58" s="123"/>
      <c r="W58" s="123"/>
      <c r="X58" s="123"/>
    </row>
    <row r="59" spans="1:28">
      <c r="A59" s="131"/>
      <c r="B59" s="132"/>
      <c r="C59" s="132"/>
      <c r="D59" s="132"/>
      <c r="E59" s="133"/>
      <c r="F59" s="134"/>
      <c r="G59" s="132"/>
      <c r="H59" s="135"/>
      <c r="I59" s="136"/>
      <c r="M59" s="136"/>
      <c r="N59" s="136"/>
      <c r="O59" s="205"/>
      <c r="P59" s="136"/>
      <c r="Q59" s="136"/>
      <c r="R59" s="136">
        <f>H58*28.5</f>
        <v>14.25</v>
      </c>
      <c r="S59" s="136">
        <f>H58*15</f>
        <v>7.5</v>
      </c>
      <c r="T59" s="136"/>
      <c r="U59" s="136"/>
      <c r="V59" s="136"/>
      <c r="W59" s="136"/>
      <c r="X59" s="136"/>
    </row>
    <row r="60" spans="1:28" ht="15.95">
      <c r="A60" s="4" t="s">
        <v>2</v>
      </c>
      <c r="B60" s="30" t="s">
        <v>505</v>
      </c>
      <c r="C60" s="30" t="s">
        <v>423</v>
      </c>
      <c r="D60" s="30" t="s">
        <v>242</v>
      </c>
      <c r="E60" s="59">
        <v>55</v>
      </c>
      <c r="F60" s="32">
        <v>46265</v>
      </c>
      <c r="G60" s="30" t="s">
        <v>261</v>
      </c>
      <c r="H60" s="60">
        <v>0.1</v>
      </c>
      <c r="I60" s="141">
        <f>E60*H60</f>
        <v>5.5</v>
      </c>
      <c r="M60" s="4"/>
      <c r="N60" s="123"/>
      <c r="O60" s="123"/>
      <c r="P60" s="123"/>
      <c r="Q60" s="4"/>
      <c r="R60" s="123"/>
      <c r="S60" s="123"/>
      <c r="T60" s="123"/>
      <c r="U60" s="123"/>
      <c r="V60" s="123"/>
      <c r="W60" s="123"/>
      <c r="X60" s="123"/>
    </row>
    <row r="61" spans="1:28">
      <c r="A61" s="206"/>
      <c r="B61" s="217"/>
      <c r="C61" s="218"/>
      <c r="D61" s="217"/>
      <c r="E61" s="219"/>
      <c r="F61" s="220"/>
      <c r="G61" s="217"/>
      <c r="H61" s="221"/>
      <c r="I61" s="222"/>
      <c r="K61"/>
      <c r="M61" s="206"/>
      <c r="N61" s="206"/>
      <c r="O61" s="207"/>
      <c r="P61" s="206"/>
      <c r="Q61" s="206"/>
      <c r="R61" s="206"/>
      <c r="S61" s="206"/>
      <c r="T61" s="206"/>
      <c r="U61" s="206"/>
      <c r="V61" s="206"/>
      <c r="W61" s="206"/>
      <c r="X61" s="206"/>
    </row>
    <row r="62" spans="1:28" ht="15.95">
      <c r="A62" s="4" t="s">
        <v>2</v>
      </c>
      <c r="B62" s="30" t="s">
        <v>305</v>
      </c>
      <c r="C62" s="30" t="s">
        <v>237</v>
      </c>
      <c r="D62" s="30" t="s">
        <v>247</v>
      </c>
      <c r="E62" s="59">
        <v>50</v>
      </c>
      <c r="F62" s="32">
        <v>46265</v>
      </c>
      <c r="G62" s="30" t="s">
        <v>261</v>
      </c>
      <c r="H62" s="60">
        <v>0.7</v>
      </c>
      <c r="I62" s="229">
        <f>E62*H62</f>
        <v>35</v>
      </c>
      <c r="M62" s="4"/>
      <c r="N62" s="4"/>
      <c r="O62" s="123">
        <f>I62*50%</f>
        <v>17.5</v>
      </c>
      <c r="P62" s="4"/>
      <c r="Q62" s="4"/>
      <c r="R62" s="4"/>
      <c r="S62" s="4"/>
      <c r="T62" s="4"/>
      <c r="U62" s="4"/>
      <c r="V62" s="4"/>
      <c r="W62" s="4"/>
      <c r="X62" s="4"/>
    </row>
    <row r="63" spans="1:28">
      <c r="A63" s="208"/>
      <c r="B63" s="210"/>
      <c r="C63" s="215"/>
      <c r="D63" s="210"/>
      <c r="E63" s="211"/>
      <c r="F63" s="216"/>
      <c r="G63" s="210"/>
      <c r="H63" s="212"/>
      <c r="I63" s="213"/>
      <c r="K63"/>
      <c r="M63" s="208"/>
      <c r="N63" s="208"/>
      <c r="O63" s="209"/>
      <c r="P63" s="208"/>
      <c r="Q63" s="208"/>
      <c r="R63" s="208"/>
      <c r="S63" s="208"/>
      <c r="T63" s="208"/>
      <c r="U63" s="208"/>
      <c r="V63" s="208"/>
      <c r="W63" s="208"/>
      <c r="X63" s="208"/>
    </row>
    <row r="64" spans="1:28" ht="15.95">
      <c r="A64" s="4" t="s">
        <v>2</v>
      </c>
      <c r="B64" s="30" t="s">
        <v>506</v>
      </c>
      <c r="C64" s="30" t="s">
        <v>480</v>
      </c>
      <c r="D64" s="30" t="s">
        <v>247</v>
      </c>
      <c r="E64" s="59">
        <v>480</v>
      </c>
      <c r="F64" s="32">
        <v>46265</v>
      </c>
      <c r="G64" s="30" t="s">
        <v>261</v>
      </c>
      <c r="H64" s="60">
        <v>0.3</v>
      </c>
      <c r="I64" s="229">
        <f>E64*H64</f>
        <v>144</v>
      </c>
      <c r="M64" s="4"/>
      <c r="N64" s="123"/>
      <c r="O64" s="123">
        <f>I64*45%*25%+I64*55%*30%</f>
        <v>39.96</v>
      </c>
      <c r="P64" s="123"/>
      <c r="Q64" s="4"/>
      <c r="R64" s="123">
        <f>I64*45%*15%+I64*55%*50%</f>
        <v>49.32</v>
      </c>
      <c r="S64" s="123">
        <f>I64*45%*20%</f>
        <v>12.96</v>
      </c>
      <c r="T64" s="123"/>
      <c r="U64" s="123"/>
      <c r="V64" s="123"/>
      <c r="W64" s="123">
        <f>I64*45%*25%</f>
        <v>16.2</v>
      </c>
      <c r="X64" s="123"/>
      <c r="Y64" s="123"/>
      <c r="Z64" s="123"/>
      <c r="AA64" s="123">
        <f>I64*45%*10%+I64*55%*20%</f>
        <v>22.32</v>
      </c>
      <c r="AB64" s="123">
        <f>I64*45%*5%</f>
        <v>3.24</v>
      </c>
    </row>
    <row r="65" spans="1:28">
      <c r="A65" s="131"/>
      <c r="B65" s="132"/>
      <c r="C65" s="198"/>
      <c r="D65" s="132"/>
      <c r="E65" s="133"/>
      <c r="F65" s="226"/>
      <c r="G65" s="132"/>
      <c r="H65" s="135"/>
      <c r="I65" s="136"/>
      <c r="K65"/>
      <c r="M65" s="131"/>
      <c r="N65" s="131"/>
      <c r="O65" s="163">
        <f>H64*5.3</f>
        <v>1.5899999999999999</v>
      </c>
      <c r="P65" s="163">
        <f>H64*5.3</f>
        <v>1.5899999999999999</v>
      </c>
      <c r="Q65" s="163">
        <f>H64*5.3</f>
        <v>1.5899999999999999</v>
      </c>
      <c r="R65" s="163"/>
      <c r="S65" s="163"/>
      <c r="T65" s="163">
        <f>H64*7.5</f>
        <v>2.25</v>
      </c>
      <c r="U65" s="163">
        <f>H64*92</f>
        <v>27.599999999999998</v>
      </c>
      <c r="V65" s="163">
        <f>H64*23.4</f>
        <v>7.02</v>
      </c>
      <c r="W65" s="163">
        <f>H64*67.4</f>
        <v>20.220000000000002</v>
      </c>
      <c r="X65" s="163">
        <f>H64*66.3</f>
        <v>19.889999999999997</v>
      </c>
      <c r="Y65" s="163">
        <f>H64*26.2</f>
        <v>7.8599999999999994</v>
      </c>
      <c r="Z65" s="163">
        <f>H64*26.2</f>
        <v>7.8599999999999994</v>
      </c>
      <c r="AA65" s="163">
        <f>H64*65</f>
        <v>19.5</v>
      </c>
      <c r="AB65" s="163"/>
    </row>
    <row r="66" spans="1:28" ht="15.95">
      <c r="A66" s="4" t="s">
        <v>2</v>
      </c>
      <c r="B66" s="30" t="s">
        <v>271</v>
      </c>
      <c r="C66" s="30" t="s">
        <v>379</v>
      </c>
      <c r="D66" s="30" t="s">
        <v>242</v>
      </c>
      <c r="E66" s="59">
        <v>35</v>
      </c>
      <c r="F66" s="32">
        <v>46265</v>
      </c>
      <c r="G66" s="30" t="s">
        <v>331</v>
      </c>
      <c r="H66" s="60">
        <v>0.3</v>
      </c>
      <c r="I66" s="141">
        <f>E66*H66*$L$1</f>
        <v>0</v>
      </c>
      <c r="M66" s="4"/>
      <c r="N66" s="123"/>
      <c r="O66" s="123"/>
      <c r="P66" s="123"/>
      <c r="Q66" s="4"/>
      <c r="R66" s="123"/>
      <c r="S66" s="123"/>
      <c r="T66" s="123"/>
      <c r="U66" s="123"/>
      <c r="V66" s="123"/>
      <c r="W66" s="123"/>
      <c r="X66" s="123"/>
    </row>
    <row r="67" spans="1:28">
      <c r="A67" s="206"/>
      <c r="B67" s="217"/>
      <c r="C67" s="218"/>
      <c r="D67" s="217"/>
      <c r="E67" s="219"/>
      <c r="F67" s="220"/>
      <c r="G67" s="217"/>
      <c r="H67" s="221"/>
      <c r="I67" s="222"/>
      <c r="K67"/>
      <c r="M67" s="206"/>
      <c r="N67" s="206"/>
      <c r="O67" s="207"/>
      <c r="P67" s="206"/>
      <c r="Q67" s="206"/>
      <c r="R67" s="206"/>
      <c r="S67" s="206"/>
      <c r="T67" s="206"/>
      <c r="U67" s="206"/>
      <c r="V67" s="206"/>
      <c r="W67" s="206"/>
      <c r="X67" s="206"/>
    </row>
    <row r="68" spans="1:28" ht="15.95">
      <c r="A68" s="4" t="s">
        <v>147</v>
      </c>
      <c r="B68" s="30" t="s">
        <v>443</v>
      </c>
      <c r="C68" s="30" t="s">
        <v>311</v>
      </c>
      <c r="D68" s="30" t="s">
        <v>247</v>
      </c>
      <c r="E68" s="31">
        <v>118</v>
      </c>
      <c r="F68" s="32">
        <v>46265</v>
      </c>
      <c r="G68" s="30" t="s">
        <v>261</v>
      </c>
      <c r="H68" s="33">
        <v>0.5</v>
      </c>
      <c r="I68" s="93">
        <f>E68*H68</f>
        <v>59</v>
      </c>
      <c r="J68" t="s">
        <v>496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8">
      <c r="A69" s="206"/>
      <c r="B69" s="217"/>
      <c r="C69" s="218"/>
      <c r="D69" s="217"/>
      <c r="E69" s="219"/>
      <c r="F69" s="220"/>
      <c r="G69" s="217"/>
      <c r="H69" s="221"/>
      <c r="I69" s="222"/>
      <c r="K69"/>
      <c r="M69" s="206"/>
      <c r="N69" s="206"/>
      <c r="O69" s="207"/>
      <c r="P69" s="206"/>
      <c r="Q69" s="206"/>
      <c r="R69" s="206"/>
      <c r="S69" s="206"/>
      <c r="T69" s="206"/>
      <c r="U69" s="206"/>
      <c r="V69" s="206"/>
      <c r="W69" s="206"/>
      <c r="X69" s="206"/>
    </row>
    <row r="70" spans="1:28" ht="15.95">
      <c r="A70" s="4" t="s">
        <v>21</v>
      </c>
      <c r="B70" s="30" t="s">
        <v>457</v>
      </c>
      <c r="C70" s="30" t="s">
        <v>356</v>
      </c>
      <c r="D70" s="30" t="s">
        <v>238</v>
      </c>
      <c r="E70" s="31">
        <v>50</v>
      </c>
      <c r="F70" s="32">
        <v>46265</v>
      </c>
      <c r="G70" s="30" t="s">
        <v>252</v>
      </c>
      <c r="H70" s="33">
        <v>0.6</v>
      </c>
      <c r="I70" s="93">
        <f>E70*H70</f>
        <v>30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8">
      <c r="A71" s="206"/>
      <c r="B71" s="217"/>
      <c r="C71" s="218"/>
      <c r="D71" s="217"/>
      <c r="E71" s="219"/>
      <c r="F71" s="220"/>
      <c r="G71" s="217"/>
      <c r="H71" s="221"/>
      <c r="I71" s="222"/>
      <c r="K71"/>
      <c r="M71" s="206"/>
      <c r="N71" s="206"/>
      <c r="O71" s="207"/>
      <c r="P71" s="206"/>
      <c r="Q71" s="206"/>
      <c r="R71" s="206"/>
      <c r="S71" s="206"/>
      <c r="T71" s="206"/>
      <c r="U71" s="206"/>
      <c r="V71" s="206"/>
      <c r="W71" s="206"/>
      <c r="X71" s="206"/>
    </row>
    <row r="72" spans="1:28" ht="15.95">
      <c r="A72" s="4" t="s">
        <v>21</v>
      </c>
      <c r="B72" s="30" t="s">
        <v>458</v>
      </c>
      <c r="C72" s="30" t="s">
        <v>356</v>
      </c>
      <c r="D72" s="30" t="s">
        <v>238</v>
      </c>
      <c r="E72" s="31">
        <v>80</v>
      </c>
      <c r="F72" s="32">
        <v>46265</v>
      </c>
      <c r="G72" s="30" t="s">
        <v>252</v>
      </c>
      <c r="H72" s="33">
        <v>0.6</v>
      </c>
      <c r="I72" s="229">
        <f>E72*H72</f>
        <v>48</v>
      </c>
      <c r="M72" s="4"/>
      <c r="N72" s="4"/>
      <c r="O72" s="123">
        <f>I72*70%*20%</f>
        <v>6.7199999999999989</v>
      </c>
      <c r="P72" s="123">
        <f>I72*70%*20%+I72*30%</f>
        <v>21.119999999999997</v>
      </c>
      <c r="Q72" s="123">
        <f>I72*70%*20%</f>
        <v>6.7199999999999989</v>
      </c>
      <c r="R72" s="123">
        <f>I72*70%*15%</f>
        <v>5.0399999999999991</v>
      </c>
      <c r="S72" s="123">
        <f>I72*70%*15%</f>
        <v>5.0399999999999991</v>
      </c>
      <c r="T72" s="123">
        <f>I72*70%*10%</f>
        <v>3.3599999999999994</v>
      </c>
      <c r="U72" s="123"/>
      <c r="V72" s="123"/>
      <c r="W72" s="123"/>
      <c r="X72" s="123"/>
    </row>
    <row r="73" spans="1:28">
      <c r="A73" s="131"/>
      <c r="B73" s="132"/>
      <c r="C73" s="132"/>
      <c r="D73" s="132"/>
      <c r="E73" s="133"/>
      <c r="F73" s="134"/>
      <c r="G73" s="132"/>
      <c r="H73" s="135"/>
      <c r="I73" s="136"/>
      <c r="M73" s="136"/>
      <c r="N73" s="136"/>
      <c r="O73" s="205"/>
      <c r="P73" s="136">
        <f>H72*1</f>
        <v>0.6</v>
      </c>
      <c r="Q73" s="136"/>
      <c r="R73" s="136">
        <f>H72*17</f>
        <v>10.199999999999999</v>
      </c>
      <c r="S73" s="136">
        <f>H72*4.5</f>
        <v>2.6999999999999997</v>
      </c>
      <c r="T73" s="136"/>
      <c r="U73" s="136"/>
      <c r="V73" s="136"/>
      <c r="W73" s="136"/>
      <c r="X73" s="136"/>
    </row>
    <row r="74" spans="1:28" ht="15.95">
      <c r="A74" s="4" t="s">
        <v>21</v>
      </c>
      <c r="B74" s="30" t="s">
        <v>380</v>
      </c>
      <c r="C74" s="30" t="s">
        <v>356</v>
      </c>
      <c r="D74" s="30" t="s">
        <v>238</v>
      </c>
      <c r="E74" s="31">
        <v>60</v>
      </c>
      <c r="F74" s="32">
        <v>46265</v>
      </c>
      <c r="G74" s="30" t="s">
        <v>252</v>
      </c>
      <c r="H74" s="33">
        <v>0.6</v>
      </c>
      <c r="I74" s="229">
        <f>E74*H74</f>
        <v>36</v>
      </c>
      <c r="M74" s="4"/>
      <c r="N74" s="4"/>
      <c r="O74" s="123">
        <f>I74*46%*20%</f>
        <v>3.3120000000000007</v>
      </c>
      <c r="P74" s="123">
        <f>I74*46%*20%+I74*54%</f>
        <v>22.752000000000002</v>
      </c>
      <c r="Q74" s="123">
        <f>I74*46%*20%</f>
        <v>3.3120000000000007</v>
      </c>
      <c r="R74" s="123">
        <f>I74*46%*15%</f>
        <v>2.4840000000000004</v>
      </c>
      <c r="S74" s="123">
        <f>I74*46%*20%</f>
        <v>3.3120000000000007</v>
      </c>
      <c r="T74" s="123">
        <f>I74*46%*5%</f>
        <v>0.82800000000000018</v>
      </c>
      <c r="U74" s="123"/>
      <c r="V74" s="123"/>
      <c r="W74" s="123"/>
      <c r="X74" s="123"/>
    </row>
    <row r="75" spans="1:28">
      <c r="A75" s="131"/>
      <c r="B75" s="132"/>
      <c r="C75" s="132"/>
      <c r="D75" s="132"/>
      <c r="E75" s="133"/>
      <c r="F75" s="134"/>
      <c r="G75" s="132"/>
      <c r="H75" s="135"/>
      <c r="I75" s="136"/>
      <c r="M75" s="136"/>
      <c r="N75" s="136"/>
      <c r="O75" s="205"/>
      <c r="P75" s="136">
        <f>H74*0.7</f>
        <v>0.42</v>
      </c>
      <c r="Q75" s="136"/>
      <c r="R75" s="136">
        <f>H74*42</f>
        <v>25.2</v>
      </c>
      <c r="S75" s="136">
        <f>H74*3</f>
        <v>1.7999999999999998</v>
      </c>
      <c r="T75" s="136"/>
      <c r="U75" s="136"/>
      <c r="V75" s="136"/>
      <c r="W75" s="136"/>
      <c r="X75" s="136"/>
    </row>
    <row r="76" spans="1:28" ht="15.95">
      <c r="A76" s="4" t="s">
        <v>21</v>
      </c>
      <c r="B76" s="30" t="s">
        <v>446</v>
      </c>
      <c r="C76" s="30" t="s">
        <v>356</v>
      </c>
      <c r="D76" s="30" t="s">
        <v>238</v>
      </c>
      <c r="E76" s="31">
        <v>20</v>
      </c>
      <c r="F76" s="32">
        <v>46265</v>
      </c>
      <c r="G76" s="30" t="s">
        <v>243</v>
      </c>
      <c r="H76" s="33">
        <v>0.9</v>
      </c>
      <c r="I76" s="93">
        <f>E76*H76</f>
        <v>18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8">
      <c r="A77" s="206"/>
      <c r="B77" s="217"/>
      <c r="C77" s="218"/>
      <c r="D77" s="217"/>
      <c r="E77" s="219"/>
      <c r="F77" s="220"/>
      <c r="G77" s="217"/>
      <c r="H77" s="221"/>
      <c r="I77" s="222"/>
      <c r="K77"/>
      <c r="M77" s="206"/>
      <c r="N77" s="206"/>
      <c r="O77" s="207"/>
      <c r="P77" s="206"/>
      <c r="Q77" s="206"/>
      <c r="R77" s="206"/>
      <c r="S77" s="206"/>
      <c r="T77" s="206"/>
      <c r="U77" s="206"/>
      <c r="V77" s="206"/>
      <c r="W77" s="206"/>
      <c r="X77" s="206"/>
    </row>
    <row r="78" spans="1:28" ht="15.95">
      <c r="A78" s="4" t="s">
        <v>21</v>
      </c>
      <c r="B78" s="30" t="s">
        <v>471</v>
      </c>
      <c r="C78" s="30" t="s">
        <v>472</v>
      </c>
      <c r="D78" s="30" t="s">
        <v>238</v>
      </c>
      <c r="E78" s="31">
        <v>4</v>
      </c>
      <c r="F78" s="32">
        <v>46265</v>
      </c>
      <c r="G78" s="30" t="s">
        <v>261</v>
      </c>
      <c r="H78" s="33">
        <v>0.25</v>
      </c>
      <c r="I78" s="93">
        <f>E78*H78</f>
        <v>1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8">
      <c r="A79" s="206"/>
      <c r="B79" s="217"/>
      <c r="C79" s="218"/>
      <c r="D79" s="217"/>
      <c r="E79" s="219"/>
      <c r="F79" s="220"/>
      <c r="G79" s="217"/>
      <c r="H79" s="221"/>
      <c r="I79" s="222"/>
      <c r="K79"/>
      <c r="M79" s="206"/>
      <c r="N79" s="206"/>
      <c r="O79" s="207"/>
      <c r="P79" s="206"/>
      <c r="Q79" s="206"/>
      <c r="R79" s="206"/>
      <c r="S79" s="206"/>
      <c r="T79" s="206"/>
      <c r="U79" s="206"/>
      <c r="V79" s="206"/>
      <c r="W79" s="206"/>
      <c r="X79" s="206"/>
    </row>
    <row r="80" spans="1:28" ht="15.95">
      <c r="A80" s="4" t="s">
        <v>2</v>
      </c>
      <c r="B80" s="30" t="s">
        <v>256</v>
      </c>
      <c r="C80" s="30" t="s">
        <v>257</v>
      </c>
      <c r="D80" s="30" t="s">
        <v>242</v>
      </c>
      <c r="E80" s="59">
        <v>145</v>
      </c>
      <c r="F80" s="32">
        <v>46295</v>
      </c>
      <c r="G80" s="30" t="s">
        <v>261</v>
      </c>
      <c r="H80" s="60">
        <v>0.5</v>
      </c>
      <c r="I80" s="141">
        <f>E80*H80</f>
        <v>72.5</v>
      </c>
      <c r="J80" t="s">
        <v>496</v>
      </c>
      <c r="M80" s="4"/>
      <c r="N80" s="123"/>
      <c r="O80" s="123"/>
      <c r="P80" s="123"/>
      <c r="Q80" s="4"/>
      <c r="R80" s="123"/>
      <c r="S80" s="123"/>
      <c r="T80" s="123"/>
      <c r="U80" s="123"/>
      <c r="V80" s="123"/>
      <c r="W80" s="123"/>
      <c r="X80" s="123"/>
    </row>
    <row r="81" spans="1:25">
      <c r="A81" s="206"/>
      <c r="B81" s="217"/>
      <c r="C81" s="218"/>
      <c r="D81" s="217"/>
      <c r="E81" s="219"/>
      <c r="F81" s="220"/>
      <c r="G81" s="217"/>
      <c r="H81" s="221"/>
      <c r="I81" s="222"/>
      <c r="K81"/>
      <c r="M81" s="206"/>
      <c r="N81" s="206"/>
      <c r="O81" s="207"/>
      <c r="P81" s="206"/>
      <c r="Q81" s="206"/>
      <c r="R81" s="206"/>
      <c r="S81" s="206"/>
      <c r="T81" s="206"/>
      <c r="U81" s="206"/>
      <c r="V81" s="206"/>
      <c r="W81" s="206"/>
      <c r="X81" s="206"/>
    </row>
    <row r="82" spans="1:25" ht="32.1">
      <c r="A82" s="4" t="s">
        <v>2</v>
      </c>
      <c r="B82" s="30" t="s">
        <v>507</v>
      </c>
      <c r="C82" s="30" t="s">
        <v>508</v>
      </c>
      <c r="D82" s="30" t="s">
        <v>247</v>
      </c>
      <c r="E82" s="31">
        <v>120</v>
      </c>
      <c r="F82" s="32">
        <v>46295</v>
      </c>
      <c r="G82" s="30" t="s">
        <v>261</v>
      </c>
      <c r="H82" s="33">
        <v>0.3</v>
      </c>
      <c r="I82" s="229">
        <f>E82*H82</f>
        <v>36</v>
      </c>
      <c r="M82" s="123"/>
      <c r="N82" s="123"/>
      <c r="O82" s="123"/>
      <c r="P82" s="123">
        <f>$I$82/6</f>
        <v>6</v>
      </c>
      <c r="Q82" s="123">
        <f t="shared" ref="Q82:U82" si="1">$I$82/6</f>
        <v>6</v>
      </c>
      <c r="R82" s="123">
        <f t="shared" si="1"/>
        <v>6</v>
      </c>
      <c r="S82" s="123">
        <f t="shared" si="1"/>
        <v>6</v>
      </c>
      <c r="T82" s="123">
        <f t="shared" si="1"/>
        <v>6</v>
      </c>
      <c r="U82" s="123">
        <f t="shared" si="1"/>
        <v>6</v>
      </c>
      <c r="V82" s="4"/>
      <c r="W82" s="4"/>
      <c r="X82" s="4"/>
    </row>
    <row r="83" spans="1:25">
      <c r="A83" s="131"/>
      <c r="B83" s="132"/>
      <c r="C83" s="132"/>
      <c r="D83" s="132"/>
      <c r="E83" s="133"/>
      <c r="F83" s="134"/>
      <c r="G83" s="132"/>
      <c r="H83" s="135"/>
      <c r="I83" s="136"/>
      <c r="M83" s="136"/>
      <c r="N83" s="136"/>
      <c r="O83" s="205"/>
      <c r="P83" s="136"/>
      <c r="Q83" s="136"/>
      <c r="R83" s="136"/>
      <c r="S83" s="136"/>
      <c r="T83" s="136"/>
      <c r="U83" s="136"/>
      <c r="V83" s="136"/>
      <c r="W83" s="136"/>
      <c r="X83" s="136"/>
    </row>
    <row r="84" spans="1:25" ht="15.95">
      <c r="A84" s="4" t="s">
        <v>2</v>
      </c>
      <c r="B84" s="30" t="s">
        <v>444</v>
      </c>
      <c r="C84" s="30" t="s">
        <v>445</v>
      </c>
      <c r="D84" s="30" t="s">
        <v>282</v>
      </c>
      <c r="E84" s="31">
        <v>5</v>
      </c>
      <c r="F84" s="32">
        <v>46295</v>
      </c>
      <c r="G84" s="30" t="s">
        <v>239</v>
      </c>
      <c r="H84" s="33">
        <v>0.7</v>
      </c>
      <c r="I84" s="93">
        <f>E84*H84</f>
        <v>3.5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5">
      <c r="A85" s="206"/>
      <c r="B85" s="217"/>
      <c r="C85" s="218"/>
      <c r="D85" s="217"/>
      <c r="E85" s="219"/>
      <c r="F85" s="220"/>
      <c r="G85" s="217"/>
      <c r="H85" s="221"/>
      <c r="I85" s="222"/>
      <c r="K85"/>
      <c r="M85" s="206"/>
      <c r="N85" s="206"/>
      <c r="O85" s="207"/>
      <c r="P85" s="206"/>
      <c r="Q85" s="206"/>
      <c r="R85" s="206"/>
      <c r="S85" s="206"/>
      <c r="T85" s="206"/>
      <c r="U85" s="206"/>
      <c r="V85" s="206"/>
      <c r="W85" s="206"/>
      <c r="X85" s="206"/>
    </row>
    <row r="86" spans="1:25" ht="15.95">
      <c r="A86" s="4" t="s">
        <v>147</v>
      </c>
      <c r="B86" s="30" t="s">
        <v>509</v>
      </c>
      <c r="C86" s="30" t="s">
        <v>410</v>
      </c>
      <c r="D86" s="30" t="s">
        <v>247</v>
      </c>
      <c r="E86" s="31">
        <v>35</v>
      </c>
      <c r="F86" s="32">
        <v>46295</v>
      </c>
      <c r="G86" s="30" t="s">
        <v>261</v>
      </c>
      <c r="H86" s="33">
        <v>0.5</v>
      </c>
      <c r="I86" s="93">
        <f>E86*H86</f>
        <v>17.5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5">
      <c r="A87" s="206"/>
      <c r="B87" s="217"/>
      <c r="C87" s="218"/>
      <c r="D87" s="217"/>
      <c r="E87" s="219"/>
      <c r="F87" s="220"/>
      <c r="G87" s="217"/>
      <c r="H87" s="221"/>
      <c r="I87" s="222"/>
      <c r="K87"/>
      <c r="M87" s="206"/>
      <c r="N87" s="206"/>
      <c r="O87" s="207"/>
      <c r="P87" s="206"/>
      <c r="Q87" s="206"/>
      <c r="R87" s="206"/>
      <c r="S87" s="206"/>
      <c r="T87" s="206"/>
      <c r="U87" s="206"/>
      <c r="V87" s="206"/>
      <c r="W87" s="206"/>
      <c r="X87" s="206"/>
    </row>
    <row r="88" spans="1:25" ht="15.95">
      <c r="A88" s="4" t="s">
        <v>21</v>
      </c>
      <c r="B88" s="30" t="s">
        <v>510</v>
      </c>
      <c r="C88" s="30" t="s">
        <v>356</v>
      </c>
      <c r="D88" s="30" t="s">
        <v>238</v>
      </c>
      <c r="E88" s="31">
        <v>250</v>
      </c>
      <c r="F88" s="32">
        <v>46295</v>
      </c>
      <c r="G88" s="30" t="s">
        <v>331</v>
      </c>
      <c r="H88" s="33">
        <v>0.3</v>
      </c>
      <c r="I88" s="93">
        <f>E88*H88*$L$1</f>
        <v>0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5">
      <c r="A89" s="206"/>
      <c r="B89" s="217"/>
      <c r="C89" s="218"/>
      <c r="D89" s="217"/>
      <c r="E89" s="219"/>
      <c r="F89" s="220"/>
      <c r="G89" s="217"/>
      <c r="H89" s="221"/>
      <c r="I89" s="222"/>
      <c r="K89"/>
      <c r="M89" s="206"/>
      <c r="N89" s="206"/>
      <c r="O89" s="207"/>
      <c r="P89" s="206"/>
      <c r="Q89" s="206"/>
      <c r="R89" s="206"/>
      <c r="S89" s="206"/>
      <c r="T89" s="206"/>
      <c r="U89" s="206"/>
      <c r="V89" s="206"/>
      <c r="W89" s="206"/>
      <c r="X89" s="206"/>
    </row>
    <row r="90" spans="1:25" ht="15.95">
      <c r="A90" s="4" t="s">
        <v>21</v>
      </c>
      <c r="B90" s="30" t="s">
        <v>290</v>
      </c>
      <c r="C90" s="30" t="s">
        <v>297</v>
      </c>
      <c r="D90" s="30" t="s">
        <v>238</v>
      </c>
      <c r="E90" s="31">
        <v>100</v>
      </c>
      <c r="F90" s="32">
        <v>46295</v>
      </c>
      <c r="G90" s="30" t="s">
        <v>261</v>
      </c>
      <c r="H90" s="33">
        <v>0.3</v>
      </c>
      <c r="I90" s="229">
        <f>E90*H90</f>
        <v>30</v>
      </c>
      <c r="M90" s="4"/>
      <c r="N90" s="4"/>
      <c r="O90" s="4"/>
      <c r="P90" s="123">
        <f>I90*20%</f>
        <v>6</v>
      </c>
      <c r="Q90" s="123">
        <f>I90*20%</f>
        <v>6</v>
      </c>
      <c r="R90" s="123">
        <f>I90*20%</f>
        <v>6</v>
      </c>
      <c r="S90" s="123">
        <f>I90*30%</f>
        <v>9</v>
      </c>
      <c r="T90" s="123">
        <f>I90*10%</f>
        <v>3</v>
      </c>
      <c r="U90" s="123"/>
      <c r="V90" s="123"/>
      <c r="W90" s="123"/>
      <c r="X90" s="123"/>
    </row>
    <row r="91" spans="1:25">
      <c r="A91" s="131"/>
      <c r="B91" s="132"/>
      <c r="C91" s="132"/>
      <c r="D91" s="132"/>
      <c r="E91" s="133"/>
      <c r="F91" s="134"/>
      <c r="G91" s="132"/>
      <c r="H91" s="135"/>
      <c r="I91" s="136"/>
      <c r="M91" s="136"/>
      <c r="N91" s="136"/>
      <c r="O91" s="205"/>
      <c r="P91" s="136"/>
      <c r="Q91" s="136">
        <f>H90*3.2</f>
        <v>0.96</v>
      </c>
      <c r="R91" s="136">
        <f>H90*3.2</f>
        <v>0.96</v>
      </c>
      <c r="S91" s="136">
        <f>H90*8</f>
        <v>2.4</v>
      </c>
      <c r="T91" s="136"/>
      <c r="U91" s="136"/>
      <c r="V91" s="136"/>
      <c r="W91" s="136"/>
      <c r="X91" s="136"/>
    </row>
    <row r="93" spans="1:25" ht="15.95" thickBot="1"/>
    <row r="94" spans="1:25">
      <c r="G94" s="256" t="s">
        <v>511</v>
      </c>
      <c r="H94" s="92" t="s">
        <v>9</v>
      </c>
      <c r="I94" s="93">
        <f>SUM(I2:I40)</f>
        <v>563.70000000000005</v>
      </c>
      <c r="K94" s="90"/>
      <c r="M94" s="167">
        <f>M2+M4+M6+M8+M10+M12+M14+M16+M18+M20+M22+M24+M26+M28+M30+M32+M34+M36+M38+M40+M42+M44+M46+M48+M50+M52+M54+M56+M58+M60+M62+M64+M66+M68+M70+M72+M74+M76+M78+M80+M82+M84+M86+M88+M90</f>
        <v>0.90416666666666667</v>
      </c>
      <c r="N94" s="167">
        <f t="shared" ref="N94:T94" si="2">N2+N4+N6+N8+N10+N12+N14+N16+N18+N20+N22+N24+N26+N28+N30+N32+N34+N36+N38+N40+N42+N44+N46+N48+N50+N52+N54+N56+N58+N60+N62+N64+N66+N68+N70+N72+N74+N76+N78+N80+N82+N84+N86+N88+N90</f>
        <v>29.984166666666663</v>
      </c>
      <c r="O94" s="167">
        <f t="shared" si="2"/>
        <v>106.34866666666666</v>
      </c>
      <c r="P94" s="167">
        <f t="shared" si="2"/>
        <v>87.233666666666664</v>
      </c>
      <c r="Q94" s="167">
        <f t="shared" si="2"/>
        <v>54.496166666666667</v>
      </c>
      <c r="R94" s="167">
        <f t="shared" si="2"/>
        <v>127.91066666666664</v>
      </c>
      <c r="S94" s="167">
        <f t="shared" si="2"/>
        <v>134.47366666666665</v>
      </c>
      <c r="T94" s="167">
        <f t="shared" si="2"/>
        <v>56.872166666666672</v>
      </c>
      <c r="U94" s="167">
        <f t="shared" ref="U94:W94" si="3">U2+U4+U6+U8+U10+U12+U14+U16+U18+U20+U22+U24+U26+U28+U30+U32+U34+U36+U38+U40+U42+U44+U46+U48+U50+U52+U54+U56+U58+U60+U62+U64+U66+U68+U70+U72+U74+U76+U78+U80+U82+U84+U86+U88+U90</f>
        <v>25.804166666666664</v>
      </c>
      <c r="V94" s="167">
        <f t="shared" si="3"/>
        <v>17.104166666666664</v>
      </c>
      <c r="W94" s="167">
        <f t="shared" si="3"/>
        <v>38.344166666666666</v>
      </c>
      <c r="X94" s="223">
        <f t="shared" ref="X94" si="4">X2+X4+X6+X8+X10+X12+X14+X16+X18+X20+X22+X24+X26+X28+X30+X32+X34+X36+X38+X40+X42+X44+X46+X48+X50+X52+X54+X56+X58+X60+X62+X64+X66+X68+X70+X72+X74+X76+X78+X80+X82+X84+X86+X88+X90</f>
        <v>4.144166666666667</v>
      </c>
      <c r="Y94" s="227">
        <f>SUM(M94:X94)</f>
        <v>683.61999999999989</v>
      </c>
    </row>
    <row r="95" spans="1:25" ht="15.95" thickBot="1">
      <c r="G95" s="257"/>
      <c r="H95" s="92" t="s">
        <v>10</v>
      </c>
      <c r="I95" s="93">
        <f>SUM(I42:I78)</f>
        <v>689.75</v>
      </c>
      <c r="K95" s="90"/>
      <c r="M95" s="136">
        <f>M3+M5+M7+M9+M11+M13+M15+M17+M19+M21+M23+M25+M27+M29+M31+M33+M35+M37+M39+M41+M43+M45+M47+M49+M51+M53+M55+M57+M59+M61+M63+M65+M67+M69+M71+M73+M75+M77+M79+M81+M83+M85+M87+M89+M91</f>
        <v>0.97999999999999987</v>
      </c>
      <c r="N95" s="136">
        <f t="shared" ref="N95:T95" si="5">N3+N5+N7+N9+N11+N13+N15+N17+N19+N21+N23+N25+N27+N29+N31+N33+N35+N37+N39+N41+N43+N45+N47+N49+N51+N53+N55+N57+N59+N61+N63+N65+N67+N69+N71+N73+N75+N77+N79+N81+N83+N85+N87+N89+N91</f>
        <v>0.21</v>
      </c>
      <c r="O95" s="136">
        <f t="shared" si="5"/>
        <v>9.245000000000001</v>
      </c>
      <c r="P95" s="136">
        <f t="shared" si="5"/>
        <v>2.9099999999999997</v>
      </c>
      <c r="Q95" s="136">
        <f t="shared" si="5"/>
        <v>10.59</v>
      </c>
      <c r="R95" s="136">
        <f t="shared" si="5"/>
        <v>63.330000000000005</v>
      </c>
      <c r="S95" s="136">
        <f t="shared" si="5"/>
        <v>67.400000000000006</v>
      </c>
      <c r="T95" s="136">
        <f t="shared" si="5"/>
        <v>40.700000000000003</v>
      </c>
      <c r="U95" s="136">
        <f t="shared" ref="U95:W95" si="6">U3+U5+U7+U9+U11+U13+U15+U17+U19+U21+U23+U25+U27+U29+U31+U33+U35+U37+U39+U41+U43+U45+U47+U49+U51+U53+U55+U57+U59+U61+U63+U65+U67+U69+U71+U73+U75+U77+U79+U81+U83+U85+U87+U89+U91</f>
        <v>39.39</v>
      </c>
      <c r="V95" s="136">
        <f t="shared" si="6"/>
        <v>11.46</v>
      </c>
      <c r="W95" s="136">
        <f t="shared" si="6"/>
        <v>21.270000000000003</v>
      </c>
      <c r="X95" s="224">
        <f t="shared" ref="X95" si="7">X3+X5+X7+X9+X11+X13+X15+X17+X19+X21+X23+X25+X27+X29+X31+X33+X35+X37+X39+X41+X43+X45+X47+X49+X51+X53+X55+X57+X59+X61+X63+X65+X67+X69+X71+X73+X75+X77+X79+X81+X83+X85+X87+X89+X91</f>
        <v>39.989999999999995</v>
      </c>
      <c r="Y95" s="225">
        <f>SUM(M95:X95)</f>
        <v>307.47500000000002</v>
      </c>
    </row>
    <row r="96" spans="1:25" ht="15.95" thickBot="1">
      <c r="G96" s="257"/>
      <c r="H96" s="92" t="s">
        <v>11</v>
      </c>
      <c r="I96" s="93">
        <f>SUM(I80:I90)</f>
        <v>159.5</v>
      </c>
      <c r="K96" s="90"/>
    </row>
    <row r="97" spans="1:25">
      <c r="M97" s="127">
        <f>M94*1000000</f>
        <v>904166.66666666663</v>
      </c>
      <c r="N97" s="127">
        <f t="shared" ref="N97:Y98" si="8">N94*1000000</f>
        <v>29984166.666666664</v>
      </c>
      <c r="O97" s="127">
        <f t="shared" si="8"/>
        <v>106348666.66666666</v>
      </c>
      <c r="P97" s="127">
        <f t="shared" si="8"/>
        <v>87233666.666666672</v>
      </c>
      <c r="Q97" s="127">
        <f t="shared" si="8"/>
        <v>54496166.666666664</v>
      </c>
      <c r="R97" s="127">
        <f t="shared" si="8"/>
        <v>127910666.66666664</v>
      </c>
      <c r="S97" s="127">
        <f t="shared" si="8"/>
        <v>134473666.66666666</v>
      </c>
      <c r="T97" s="127">
        <f t="shared" si="8"/>
        <v>56872166.666666672</v>
      </c>
      <c r="U97" s="127">
        <f t="shared" si="8"/>
        <v>25804166.666666664</v>
      </c>
      <c r="V97" s="127">
        <f t="shared" si="8"/>
        <v>17104166.666666664</v>
      </c>
      <c r="W97" s="127">
        <f t="shared" si="8"/>
        <v>38344166.666666664</v>
      </c>
      <c r="X97" s="228">
        <f t="shared" si="8"/>
        <v>4144166.666666667</v>
      </c>
      <c r="Y97" s="227">
        <f t="shared" si="8"/>
        <v>683619999.99999988</v>
      </c>
    </row>
    <row r="98" spans="1:25" ht="15.95" thickBot="1">
      <c r="M98" s="136">
        <f>M95*1000000</f>
        <v>979999.99999999988</v>
      </c>
      <c r="N98" s="136">
        <f t="shared" si="8"/>
        <v>210000</v>
      </c>
      <c r="O98" s="136">
        <f t="shared" si="8"/>
        <v>9245000.0000000019</v>
      </c>
      <c r="P98" s="136">
        <f t="shared" si="8"/>
        <v>2909999.9999999995</v>
      </c>
      <c r="Q98" s="136">
        <f t="shared" si="8"/>
        <v>10590000</v>
      </c>
      <c r="R98" s="136">
        <f t="shared" si="8"/>
        <v>63330000.000000007</v>
      </c>
      <c r="S98" s="136">
        <f t="shared" si="8"/>
        <v>67400000</v>
      </c>
      <c r="T98" s="136">
        <f t="shared" si="8"/>
        <v>40700000</v>
      </c>
      <c r="U98" s="136">
        <f t="shared" si="8"/>
        <v>39390000</v>
      </c>
      <c r="V98" s="136">
        <f t="shared" si="8"/>
        <v>11460000</v>
      </c>
      <c r="W98" s="136">
        <f t="shared" si="8"/>
        <v>21270000.000000004</v>
      </c>
      <c r="X98" s="224">
        <f t="shared" si="8"/>
        <v>39989999.999999993</v>
      </c>
      <c r="Y98" s="225">
        <f t="shared" si="8"/>
        <v>307475000</v>
      </c>
    </row>
    <row r="104" spans="1:25">
      <c r="A104" s="4" t="s">
        <v>2</v>
      </c>
      <c r="B104" s="30" t="s">
        <v>512</v>
      </c>
      <c r="C104" s="30" t="s">
        <v>513</v>
      </c>
      <c r="D104" s="30" t="s">
        <v>247</v>
      </c>
      <c r="E104" s="31">
        <v>180</v>
      </c>
      <c r="F104" s="32">
        <v>46295</v>
      </c>
      <c r="G104" s="30" t="s">
        <v>261</v>
      </c>
      <c r="H104" s="33">
        <v>0.3</v>
      </c>
      <c r="I104" s="229">
        <f>E104*H104</f>
        <v>54</v>
      </c>
      <c r="M104" s="123"/>
      <c r="N104" s="123"/>
      <c r="O104" s="123"/>
      <c r="P104" s="123"/>
      <c r="Q104" s="123"/>
      <c r="R104" s="123"/>
      <c r="S104" s="123"/>
      <c r="T104" s="123"/>
      <c r="U104" s="123"/>
      <c r="V104" s="4"/>
      <c r="W104" s="4"/>
      <c r="X104" s="4"/>
    </row>
    <row r="105" spans="1:25">
      <c r="A105" s="131"/>
      <c r="B105" s="132"/>
      <c r="C105" s="132"/>
      <c r="D105" s="132"/>
      <c r="E105" s="133"/>
      <c r="F105" s="134"/>
      <c r="G105" s="132"/>
      <c r="H105" s="135"/>
      <c r="I105" s="136"/>
      <c r="M105" s="136"/>
      <c r="N105" s="136"/>
      <c r="O105" s="205"/>
      <c r="P105" s="136"/>
      <c r="Q105" s="136"/>
      <c r="R105" s="136"/>
      <c r="S105" s="136"/>
      <c r="T105" s="136"/>
      <c r="U105" s="136"/>
      <c r="V105" s="136"/>
      <c r="W105" s="136"/>
      <c r="X105" s="136"/>
    </row>
  </sheetData>
  <autoFilter ref="A1:J91" xr:uid="{F90D9B02-EA2D-EA41-A8E1-9DCC37F0902C}"/>
  <sortState xmlns:xlrd2="http://schemas.microsoft.com/office/spreadsheetml/2017/richdata2" ref="A2:I90">
    <sortCondition ref="F2:F90"/>
  </sortState>
  <dataConsolidate/>
  <mergeCells count="1">
    <mergeCell ref="G94:G96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4EB5-7C97-EC41-A122-18BFF48320B8}">
  <dimension ref="A1:T47"/>
  <sheetViews>
    <sheetView showGridLines="0" zoomScale="120" zoomScaleNormal="120" workbookViewId="0">
      <pane xSplit="3" topLeftCell="D1" activePane="topRight" state="frozen"/>
      <selection pane="topRight" activeCell="B28" sqref="B28"/>
    </sheetView>
  </sheetViews>
  <sheetFormatPr defaultColWidth="11.42578125" defaultRowHeight="15"/>
  <cols>
    <col min="2" max="2" width="63" customWidth="1"/>
    <col min="3" max="3" width="21.42578125" customWidth="1"/>
    <col min="4" max="4" width="17.85546875" customWidth="1"/>
    <col min="5" max="5" width="20" bestFit="1" customWidth="1"/>
    <col min="6" max="6" width="15.42578125" bestFit="1" customWidth="1"/>
    <col min="7" max="7" width="33.42578125" customWidth="1"/>
    <col min="8" max="8" width="15.140625" customWidth="1"/>
    <col min="9" max="9" width="17.42578125" customWidth="1"/>
    <col min="10" max="10" width="11.42578125" style="76"/>
  </cols>
  <sheetData>
    <row r="1" spans="1:20">
      <c r="A1" s="27" t="s">
        <v>34</v>
      </c>
      <c r="B1" s="27" t="s">
        <v>228</v>
      </c>
      <c r="C1" s="27" t="s">
        <v>26</v>
      </c>
      <c r="D1" s="27" t="s">
        <v>229</v>
      </c>
      <c r="E1" s="28" t="s">
        <v>230</v>
      </c>
      <c r="F1" s="27" t="s">
        <v>231</v>
      </c>
      <c r="G1" s="27" t="s">
        <v>232</v>
      </c>
      <c r="H1" s="29" t="s">
        <v>233</v>
      </c>
      <c r="I1" s="28" t="s">
        <v>234</v>
      </c>
      <c r="J1" s="76" t="s">
        <v>514</v>
      </c>
      <c r="K1" s="29" t="s">
        <v>5</v>
      </c>
      <c r="L1" s="29" t="s">
        <v>6</v>
      </c>
      <c r="M1" s="29" t="s">
        <v>7</v>
      </c>
      <c r="N1" s="29" t="s">
        <v>8</v>
      </c>
      <c r="O1" s="29" t="s">
        <v>9</v>
      </c>
      <c r="P1" s="29" t="s">
        <v>10</v>
      </c>
      <c r="Q1" s="29" t="s">
        <v>11</v>
      </c>
      <c r="R1" s="29" t="s">
        <v>12</v>
      </c>
      <c r="S1" s="29" t="s">
        <v>13</v>
      </c>
      <c r="T1" s="29" t="s">
        <v>14</v>
      </c>
    </row>
    <row r="2" spans="1:20" s="63" customFormat="1" ht="15.95">
      <c r="A2" s="39" t="s">
        <v>21</v>
      </c>
      <c r="B2" s="40" t="s">
        <v>236</v>
      </c>
      <c r="C2" s="40" t="s">
        <v>237</v>
      </c>
      <c r="D2" s="40" t="s">
        <v>238</v>
      </c>
      <c r="E2" s="61">
        <v>120</v>
      </c>
      <c r="F2" s="42">
        <v>46066</v>
      </c>
      <c r="G2" s="40" t="s">
        <v>243</v>
      </c>
      <c r="H2" s="66">
        <v>1</v>
      </c>
      <c r="I2" s="61">
        <f t="shared" ref="I2:I36" si="0">E2*H2</f>
        <v>120</v>
      </c>
      <c r="J2" s="76" t="s">
        <v>515</v>
      </c>
    </row>
    <row r="3" spans="1:20" s="63" customFormat="1" ht="15.95">
      <c r="A3" s="68" t="s">
        <v>21</v>
      </c>
      <c r="B3" s="69" t="s">
        <v>516</v>
      </c>
      <c r="C3" s="69" t="s">
        <v>237</v>
      </c>
      <c r="D3" s="69" t="s">
        <v>238</v>
      </c>
      <c r="E3" s="70">
        <v>120</v>
      </c>
      <c r="F3" s="71">
        <v>46081</v>
      </c>
      <c r="G3" s="69" t="s">
        <v>239</v>
      </c>
      <c r="H3" s="66">
        <v>0.7</v>
      </c>
      <c r="I3" s="70">
        <f t="shared" si="0"/>
        <v>84</v>
      </c>
      <c r="J3" s="76" t="s">
        <v>517</v>
      </c>
      <c r="K3" s="39"/>
      <c r="L3" s="39"/>
      <c r="M3" s="39"/>
      <c r="N3" s="39"/>
      <c r="O3" s="39"/>
      <c r="P3" s="39"/>
      <c r="Q3" s="39"/>
      <c r="R3" s="39"/>
      <c r="S3" s="39"/>
      <c r="T3" s="39"/>
    </row>
    <row r="4" spans="1:20" s="63" customFormat="1">
      <c r="A4" s="78" t="s">
        <v>323</v>
      </c>
      <c r="B4" s="79"/>
      <c r="C4" s="79"/>
      <c r="D4" s="79"/>
      <c r="E4" s="80"/>
      <c r="F4" s="81"/>
      <c r="G4" s="79"/>
      <c r="H4" s="82"/>
      <c r="I4" s="80"/>
      <c r="J4" s="76"/>
      <c r="K4" s="78"/>
      <c r="L4" s="78"/>
      <c r="M4" s="78"/>
      <c r="N4" s="78"/>
      <c r="O4" s="78"/>
      <c r="P4" s="78"/>
      <c r="Q4" s="78"/>
      <c r="R4" s="78"/>
      <c r="S4" s="78"/>
      <c r="T4" s="78"/>
    </row>
    <row r="5" spans="1:20" s="63" customFormat="1" ht="15.95">
      <c r="A5" s="68" t="s">
        <v>2</v>
      </c>
      <c r="B5" s="69" t="s">
        <v>518</v>
      </c>
      <c r="C5" s="69" t="s">
        <v>97</v>
      </c>
      <c r="D5" s="69" t="s">
        <v>247</v>
      </c>
      <c r="E5" s="70">
        <v>64</v>
      </c>
      <c r="F5" s="71">
        <v>46081</v>
      </c>
      <c r="G5" s="69" t="s">
        <v>261</v>
      </c>
      <c r="H5" s="66">
        <v>0.9</v>
      </c>
      <c r="I5" s="70">
        <f t="shared" si="0"/>
        <v>57.6</v>
      </c>
      <c r="J5" s="76"/>
      <c r="K5" s="39"/>
      <c r="L5" s="77">
        <f>I5</f>
        <v>57.6</v>
      </c>
      <c r="M5" s="39"/>
      <c r="N5" s="39"/>
      <c r="O5" s="39"/>
      <c r="P5" s="39"/>
      <c r="Q5" s="39"/>
      <c r="R5" s="39"/>
      <c r="S5" s="39"/>
      <c r="T5" s="39"/>
    </row>
    <row r="6" spans="1:20" s="63" customFormat="1" ht="15.95">
      <c r="A6" s="68" t="s">
        <v>2</v>
      </c>
      <c r="B6" s="69" t="s">
        <v>519</v>
      </c>
      <c r="C6" s="69" t="s">
        <v>70</v>
      </c>
      <c r="D6" s="69" t="s">
        <v>282</v>
      </c>
      <c r="E6" s="70">
        <v>100</v>
      </c>
      <c r="F6" s="71">
        <v>46081</v>
      </c>
      <c r="G6" s="69" t="s">
        <v>261</v>
      </c>
      <c r="H6" s="66">
        <v>0.9</v>
      </c>
      <c r="I6" s="70">
        <f t="shared" si="0"/>
        <v>90</v>
      </c>
      <c r="J6" s="76" t="s">
        <v>515</v>
      </c>
    </row>
    <row r="7" spans="1:20" s="63" customFormat="1" ht="15.95">
      <c r="A7" s="39" t="s">
        <v>147</v>
      </c>
      <c r="B7" s="40" t="s">
        <v>278</v>
      </c>
      <c r="C7" s="40" t="s">
        <v>249</v>
      </c>
      <c r="D7" s="40" t="s">
        <v>247</v>
      </c>
      <c r="E7" s="61">
        <v>12</v>
      </c>
      <c r="F7" s="67">
        <v>46112</v>
      </c>
      <c r="G7" s="40" t="s">
        <v>261</v>
      </c>
      <c r="H7" s="62">
        <v>0.5</v>
      </c>
      <c r="I7" s="61">
        <f t="shared" si="0"/>
        <v>6</v>
      </c>
      <c r="J7" s="76"/>
    </row>
    <row r="8" spans="1:20" s="63" customFormat="1" ht="15.95">
      <c r="A8" s="39" t="s">
        <v>21</v>
      </c>
      <c r="B8" s="40" t="s">
        <v>251</v>
      </c>
      <c r="C8" s="40" t="s">
        <v>237</v>
      </c>
      <c r="D8" s="40" t="s">
        <v>238</v>
      </c>
      <c r="E8" s="61">
        <v>736</v>
      </c>
      <c r="F8" s="67">
        <v>46112</v>
      </c>
      <c r="G8" s="40" t="s">
        <v>252</v>
      </c>
      <c r="H8" s="62">
        <v>0.6</v>
      </c>
      <c r="I8" s="61">
        <f t="shared" si="0"/>
        <v>441.59999999999997</v>
      </c>
      <c r="J8" s="76" t="s">
        <v>517</v>
      </c>
      <c r="K8" s="39"/>
      <c r="L8" s="39"/>
      <c r="M8" s="39"/>
      <c r="N8" s="39"/>
      <c r="O8" s="39"/>
      <c r="P8" s="39"/>
      <c r="Q8" s="39"/>
      <c r="R8" s="39"/>
      <c r="S8" s="39"/>
      <c r="T8" s="39"/>
    </row>
    <row r="9" spans="1:20" s="63" customFormat="1">
      <c r="A9" s="78" t="s">
        <v>323</v>
      </c>
      <c r="B9" s="79"/>
      <c r="C9" s="79"/>
      <c r="D9" s="79"/>
      <c r="E9" s="80"/>
      <c r="F9" s="81"/>
      <c r="G9" s="79"/>
      <c r="H9" s="82"/>
      <c r="I9" s="80"/>
      <c r="J9" s="76"/>
      <c r="K9" s="78"/>
      <c r="L9" s="78"/>
      <c r="M9" s="78"/>
      <c r="N9" s="78"/>
      <c r="O9" s="78"/>
      <c r="P9" s="78"/>
      <c r="Q9" s="78"/>
      <c r="R9" s="78"/>
      <c r="S9" s="78"/>
      <c r="T9" s="78"/>
    </row>
    <row r="10" spans="1:20" s="63" customFormat="1" ht="15.95">
      <c r="A10" s="39" t="s">
        <v>21</v>
      </c>
      <c r="B10" s="40" t="s">
        <v>281</v>
      </c>
      <c r="C10" s="40" t="s">
        <v>172</v>
      </c>
      <c r="D10" s="40" t="s">
        <v>238</v>
      </c>
      <c r="E10" s="61">
        <v>15</v>
      </c>
      <c r="F10" s="67">
        <v>46112</v>
      </c>
      <c r="G10" s="40" t="s">
        <v>252</v>
      </c>
      <c r="H10" s="62">
        <v>0.6</v>
      </c>
      <c r="I10" s="61">
        <f t="shared" si="0"/>
        <v>9</v>
      </c>
      <c r="J10" s="76"/>
    </row>
    <row r="11" spans="1:20" s="63" customFormat="1" ht="15.95">
      <c r="A11" s="39" t="s">
        <v>2</v>
      </c>
      <c r="B11" s="40" t="s">
        <v>255</v>
      </c>
      <c r="C11" s="40" t="s">
        <v>80</v>
      </c>
      <c r="D11" s="40" t="s">
        <v>282</v>
      </c>
      <c r="E11" s="61">
        <v>3</v>
      </c>
      <c r="F11" s="42">
        <v>46080</v>
      </c>
      <c r="G11" s="40" t="s">
        <v>261</v>
      </c>
      <c r="H11" s="62">
        <v>0.9</v>
      </c>
      <c r="I11" s="61">
        <f t="shared" si="0"/>
        <v>2.7</v>
      </c>
      <c r="J11" s="76"/>
    </row>
    <row r="12" spans="1:20" s="63" customFormat="1" ht="15.95">
      <c r="A12" s="39" t="s">
        <v>2</v>
      </c>
      <c r="B12" s="40" t="s">
        <v>283</v>
      </c>
      <c r="C12" s="40" t="s">
        <v>83</v>
      </c>
      <c r="D12" s="40" t="s">
        <v>242</v>
      </c>
      <c r="E12" s="61">
        <v>25</v>
      </c>
      <c r="F12" s="42">
        <v>46080</v>
      </c>
      <c r="G12" s="40" t="s">
        <v>261</v>
      </c>
      <c r="H12" s="62">
        <v>1</v>
      </c>
      <c r="I12" s="61">
        <f t="shared" si="0"/>
        <v>25</v>
      </c>
      <c r="J12" s="76" t="s">
        <v>515</v>
      </c>
    </row>
    <row r="13" spans="1:20" s="63" customFormat="1" ht="15.95">
      <c r="A13" s="39" t="s">
        <v>2</v>
      </c>
      <c r="B13" s="40" t="s">
        <v>284</v>
      </c>
      <c r="C13" s="40" t="s">
        <v>67</v>
      </c>
      <c r="D13" s="40" t="s">
        <v>282</v>
      </c>
      <c r="E13" s="61">
        <v>50</v>
      </c>
      <c r="F13" s="42">
        <v>46080</v>
      </c>
      <c r="G13" s="40" t="s">
        <v>261</v>
      </c>
      <c r="H13" s="62">
        <v>1</v>
      </c>
      <c r="I13" s="61">
        <f t="shared" si="0"/>
        <v>50</v>
      </c>
      <c r="J13" s="76" t="s">
        <v>515</v>
      </c>
    </row>
    <row r="14" spans="1:20" s="63" customFormat="1" ht="15.95">
      <c r="A14" s="39" t="s">
        <v>2</v>
      </c>
      <c r="B14" s="40" t="s">
        <v>284</v>
      </c>
      <c r="C14" s="40" t="s">
        <v>276</v>
      </c>
      <c r="D14" s="40" t="s">
        <v>282</v>
      </c>
      <c r="E14" s="61">
        <v>91</v>
      </c>
      <c r="F14" s="42">
        <v>46080</v>
      </c>
      <c r="G14" s="40" t="s">
        <v>261</v>
      </c>
      <c r="H14" s="62">
        <v>1</v>
      </c>
      <c r="I14" s="61">
        <f t="shared" si="0"/>
        <v>91</v>
      </c>
      <c r="J14" s="76"/>
    </row>
    <row r="15" spans="1:20" s="63" customFormat="1" ht="15.95">
      <c r="A15" s="39" t="s">
        <v>2</v>
      </c>
      <c r="B15" s="40" t="s">
        <v>255</v>
      </c>
      <c r="C15" s="40" t="s">
        <v>100</v>
      </c>
      <c r="D15" s="40" t="s">
        <v>242</v>
      </c>
      <c r="E15" s="61">
        <v>3</v>
      </c>
      <c r="F15" s="42">
        <v>46081</v>
      </c>
      <c r="G15" s="40" t="s">
        <v>252</v>
      </c>
      <c r="H15" s="62">
        <v>0.5</v>
      </c>
      <c r="I15" s="61">
        <f t="shared" si="0"/>
        <v>1.5</v>
      </c>
      <c r="J15" s="76"/>
    </row>
    <row r="16" spans="1:20" s="63" customFormat="1" ht="15.95">
      <c r="A16" s="68" t="s">
        <v>2</v>
      </c>
      <c r="B16" s="69" t="s">
        <v>520</v>
      </c>
      <c r="C16" s="69" t="s">
        <v>521</v>
      </c>
      <c r="D16" s="69" t="s">
        <v>247</v>
      </c>
      <c r="E16" s="70">
        <v>10</v>
      </c>
      <c r="F16" s="71">
        <v>46081</v>
      </c>
      <c r="G16" s="69" t="s">
        <v>261</v>
      </c>
      <c r="H16" s="66">
        <v>0.9</v>
      </c>
      <c r="I16" s="70">
        <f t="shared" si="0"/>
        <v>9</v>
      </c>
      <c r="J16" s="76"/>
    </row>
    <row r="17" spans="1:20" s="63" customFormat="1" ht="15.95">
      <c r="A17" s="4" t="s">
        <v>21</v>
      </c>
      <c r="B17" s="30" t="s">
        <v>286</v>
      </c>
      <c r="C17" s="30" t="s">
        <v>172</v>
      </c>
      <c r="D17" s="30" t="s">
        <v>238</v>
      </c>
      <c r="E17" s="72">
        <v>30</v>
      </c>
      <c r="F17" s="67">
        <v>46112</v>
      </c>
      <c r="G17" s="30" t="s">
        <v>261</v>
      </c>
      <c r="H17" s="73">
        <v>1</v>
      </c>
      <c r="I17" s="74">
        <f t="shared" si="0"/>
        <v>30</v>
      </c>
      <c r="J17" s="76" t="s">
        <v>515</v>
      </c>
    </row>
    <row r="18" spans="1:20" ht="15.95">
      <c r="A18" s="4" t="s">
        <v>2</v>
      </c>
      <c r="B18" s="30" t="s">
        <v>253</v>
      </c>
      <c r="C18" s="30" t="s">
        <v>254</v>
      </c>
      <c r="D18" s="30" t="s">
        <v>242</v>
      </c>
      <c r="E18" s="59">
        <v>35</v>
      </c>
      <c r="F18" s="32">
        <v>46112</v>
      </c>
      <c r="G18" s="30" t="s">
        <v>252</v>
      </c>
      <c r="H18" s="60">
        <v>0.6</v>
      </c>
      <c r="I18" s="59">
        <f t="shared" si="0"/>
        <v>21</v>
      </c>
    </row>
    <row r="19" spans="1:20" ht="15.95">
      <c r="A19" s="4" t="s">
        <v>2</v>
      </c>
      <c r="B19" s="30" t="s">
        <v>259</v>
      </c>
      <c r="C19" s="30" t="s">
        <v>260</v>
      </c>
      <c r="D19" s="30" t="s">
        <v>247</v>
      </c>
      <c r="E19" s="31">
        <v>220</v>
      </c>
      <c r="F19" s="32">
        <v>46112</v>
      </c>
      <c r="G19" s="30" t="s">
        <v>261</v>
      </c>
      <c r="H19" s="33">
        <v>0.5</v>
      </c>
      <c r="I19" s="31">
        <f t="shared" si="0"/>
        <v>110</v>
      </c>
    </row>
    <row r="20" spans="1:20" ht="15.95">
      <c r="A20" s="4" t="s">
        <v>2</v>
      </c>
      <c r="B20" s="30" t="s">
        <v>262</v>
      </c>
      <c r="C20" s="30" t="s">
        <v>263</v>
      </c>
      <c r="D20" s="30" t="s">
        <v>247</v>
      </c>
      <c r="E20" s="31">
        <v>180</v>
      </c>
      <c r="F20" s="32">
        <v>46112</v>
      </c>
      <c r="G20" s="30" t="s">
        <v>239</v>
      </c>
      <c r="H20" s="33">
        <v>0.7</v>
      </c>
      <c r="I20" s="31">
        <f t="shared" si="0"/>
        <v>125.99999999999999</v>
      </c>
    </row>
    <row r="21" spans="1:20" ht="15.95">
      <c r="A21" s="4" t="s">
        <v>2</v>
      </c>
      <c r="B21" s="30" t="s">
        <v>264</v>
      </c>
      <c r="C21" s="30" t="s">
        <v>265</v>
      </c>
      <c r="D21" s="30" t="s">
        <v>247</v>
      </c>
      <c r="E21" s="31">
        <v>86</v>
      </c>
      <c r="F21" s="32">
        <v>46112</v>
      </c>
      <c r="G21" s="30" t="s">
        <v>239</v>
      </c>
      <c r="H21" s="33">
        <v>0.7</v>
      </c>
      <c r="I21" s="31">
        <f t="shared" si="0"/>
        <v>60.199999999999996</v>
      </c>
    </row>
    <row r="22" spans="1:20" ht="15.95">
      <c r="A22" s="4" t="s">
        <v>2</v>
      </c>
      <c r="B22" s="30" t="s">
        <v>266</v>
      </c>
      <c r="C22" s="30" t="s">
        <v>267</v>
      </c>
      <c r="D22" s="30" t="s">
        <v>242</v>
      </c>
      <c r="E22" s="31">
        <v>75</v>
      </c>
      <c r="F22" s="32">
        <v>46112</v>
      </c>
      <c r="G22" s="30" t="s">
        <v>243</v>
      </c>
      <c r="H22" s="33">
        <v>0.9</v>
      </c>
      <c r="I22" s="31">
        <f t="shared" si="0"/>
        <v>67.5</v>
      </c>
    </row>
    <row r="23" spans="1:20" ht="15.95">
      <c r="A23" s="4" t="s">
        <v>2</v>
      </c>
      <c r="B23" s="30" t="s">
        <v>256</v>
      </c>
      <c r="C23" s="30" t="s">
        <v>257</v>
      </c>
      <c r="D23" s="30" t="s">
        <v>242</v>
      </c>
      <c r="E23" s="31">
        <v>145</v>
      </c>
      <c r="F23" s="32">
        <v>46112</v>
      </c>
      <c r="G23" s="30" t="s">
        <v>239</v>
      </c>
      <c r="H23" s="33">
        <v>0.5</v>
      </c>
      <c r="I23" s="31">
        <f t="shared" si="0"/>
        <v>72.5</v>
      </c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>
      <c r="A24" s="4"/>
      <c r="B24" s="30"/>
      <c r="C24" s="30"/>
      <c r="D24" s="30"/>
      <c r="E24" s="31"/>
      <c r="F24" s="32"/>
      <c r="G24" s="30"/>
      <c r="H24" s="33"/>
      <c r="I24" s="31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ht="15.95">
      <c r="A25" s="4" t="s">
        <v>2</v>
      </c>
      <c r="B25" s="30" t="s">
        <v>268</v>
      </c>
      <c r="C25" s="30" t="s">
        <v>269</v>
      </c>
      <c r="D25" s="30" t="s">
        <v>242</v>
      </c>
      <c r="E25" s="31">
        <v>73</v>
      </c>
      <c r="F25" s="32">
        <v>46112</v>
      </c>
      <c r="G25" s="30" t="s">
        <v>261</v>
      </c>
      <c r="H25" s="33">
        <v>0.5</v>
      </c>
      <c r="I25" s="31">
        <f t="shared" si="0"/>
        <v>36.5</v>
      </c>
    </row>
    <row r="26" spans="1:20" ht="15.95">
      <c r="A26" s="4" t="s">
        <v>2</v>
      </c>
      <c r="B26" s="30" t="s">
        <v>250</v>
      </c>
      <c r="C26" s="30" t="s">
        <v>246</v>
      </c>
      <c r="D26" s="30" t="s">
        <v>247</v>
      </c>
      <c r="E26" s="31">
        <v>39</v>
      </c>
      <c r="F26" s="32">
        <v>46112</v>
      </c>
      <c r="G26" s="30" t="s">
        <v>239</v>
      </c>
      <c r="H26" s="33">
        <v>0.7</v>
      </c>
      <c r="I26" s="31">
        <f t="shared" si="0"/>
        <v>27.299999999999997</v>
      </c>
    </row>
    <row r="27" spans="1:20" ht="15.95">
      <c r="A27" s="4" t="s">
        <v>2</v>
      </c>
      <c r="B27" s="30" t="s">
        <v>287</v>
      </c>
      <c r="C27" s="30" t="s">
        <v>75</v>
      </c>
      <c r="D27" s="30" t="s">
        <v>247</v>
      </c>
      <c r="E27" s="31">
        <v>100</v>
      </c>
      <c r="F27" s="32">
        <v>46112</v>
      </c>
      <c r="G27" s="30" t="s">
        <v>239</v>
      </c>
      <c r="H27" s="75">
        <v>1</v>
      </c>
      <c r="I27" s="31">
        <f t="shared" si="0"/>
        <v>100</v>
      </c>
      <c r="J27" s="76" t="s">
        <v>522</v>
      </c>
      <c r="K27" s="4" t="s">
        <v>523</v>
      </c>
      <c r="L27" s="4"/>
      <c r="M27" s="4"/>
      <c r="N27" s="4"/>
      <c r="O27" s="4"/>
      <c r="P27" s="4"/>
      <c r="Q27" s="4"/>
      <c r="R27" s="4"/>
      <c r="S27" s="4"/>
      <c r="T27" s="4"/>
    </row>
    <row r="28" spans="1:20" s="63" customFormat="1">
      <c r="A28" s="83" t="s">
        <v>323</v>
      </c>
      <c r="B28" s="79"/>
      <c r="C28" s="79"/>
      <c r="D28" s="79"/>
      <c r="E28" s="80"/>
      <c r="F28" s="81"/>
      <c r="G28" s="79"/>
      <c r="H28" s="82"/>
      <c r="I28" s="80"/>
      <c r="J28" s="76"/>
      <c r="K28" s="78"/>
      <c r="L28" s="78"/>
      <c r="M28" s="78"/>
      <c r="N28" s="78"/>
      <c r="O28" s="78"/>
      <c r="P28" s="78"/>
      <c r="Q28" s="78"/>
      <c r="R28" s="78"/>
      <c r="S28" s="78"/>
      <c r="T28" s="78"/>
    </row>
    <row r="29" spans="1:20" ht="15.95">
      <c r="A29" s="4" t="s">
        <v>2</v>
      </c>
      <c r="B29" s="30" t="s">
        <v>271</v>
      </c>
      <c r="C29" s="30" t="s">
        <v>272</v>
      </c>
      <c r="D29" s="30" t="s">
        <v>238</v>
      </c>
      <c r="E29" s="31">
        <v>70</v>
      </c>
      <c r="F29" s="32">
        <v>46112</v>
      </c>
      <c r="G29" s="30" t="s">
        <v>261</v>
      </c>
      <c r="H29" s="33">
        <v>0.5</v>
      </c>
      <c r="I29" s="31">
        <f t="shared" si="0"/>
        <v>35</v>
      </c>
    </row>
    <row r="30" spans="1:20" ht="15.95">
      <c r="A30" s="4" t="s">
        <v>2</v>
      </c>
      <c r="B30" s="30" t="s">
        <v>288</v>
      </c>
      <c r="C30" s="30" t="s">
        <v>237</v>
      </c>
      <c r="D30" s="30" t="s">
        <v>247</v>
      </c>
      <c r="E30" s="31">
        <v>206</v>
      </c>
      <c r="F30" s="32">
        <v>46112</v>
      </c>
      <c r="G30" s="30" t="s">
        <v>261</v>
      </c>
      <c r="H30" s="33">
        <v>0.9</v>
      </c>
      <c r="I30" s="31">
        <f t="shared" si="0"/>
        <v>185.4</v>
      </c>
    </row>
    <row r="31" spans="1:20" ht="15.95">
      <c r="A31" s="4" t="s">
        <v>147</v>
      </c>
      <c r="B31" s="30" t="s">
        <v>245</v>
      </c>
      <c r="C31" s="30" t="s">
        <v>246</v>
      </c>
      <c r="D31" s="30" t="s">
        <v>247</v>
      </c>
      <c r="E31" s="31">
        <v>10</v>
      </c>
      <c r="F31" s="32">
        <v>46112</v>
      </c>
      <c r="G31" s="30" t="s">
        <v>239</v>
      </c>
      <c r="H31" s="33">
        <v>0.7</v>
      </c>
      <c r="I31" s="31">
        <f t="shared" si="0"/>
        <v>7</v>
      </c>
    </row>
    <row r="32" spans="1:20" ht="15.95">
      <c r="A32" s="4" t="s">
        <v>21</v>
      </c>
      <c r="B32" s="30" t="s">
        <v>289</v>
      </c>
      <c r="C32" s="30" t="s">
        <v>48</v>
      </c>
      <c r="D32" s="30" t="s">
        <v>238</v>
      </c>
      <c r="E32" s="31">
        <v>60</v>
      </c>
      <c r="F32" s="32">
        <v>46112</v>
      </c>
      <c r="G32" s="30" t="s">
        <v>252</v>
      </c>
      <c r="H32" s="33">
        <v>0.3</v>
      </c>
      <c r="I32" s="31">
        <f t="shared" si="0"/>
        <v>18</v>
      </c>
    </row>
    <row r="33" spans="1:20" ht="15.95">
      <c r="A33" s="4" t="s">
        <v>21</v>
      </c>
      <c r="B33" s="30" t="s">
        <v>290</v>
      </c>
      <c r="C33" s="30" t="s">
        <v>108</v>
      </c>
      <c r="D33" s="30" t="s">
        <v>238</v>
      </c>
      <c r="E33" s="31">
        <v>100</v>
      </c>
      <c r="F33" s="32">
        <v>46112</v>
      </c>
      <c r="G33" s="30" t="s">
        <v>261</v>
      </c>
      <c r="H33" s="33">
        <v>0.3</v>
      </c>
      <c r="I33" s="31">
        <f t="shared" si="0"/>
        <v>30</v>
      </c>
    </row>
    <row r="34" spans="1:20" ht="15.95">
      <c r="A34" s="4" t="s">
        <v>21</v>
      </c>
      <c r="B34" s="30" t="s">
        <v>291</v>
      </c>
      <c r="C34" s="30" t="s">
        <v>292</v>
      </c>
      <c r="D34" s="30" t="s">
        <v>238</v>
      </c>
      <c r="E34" s="31">
        <v>10</v>
      </c>
      <c r="F34" s="32">
        <v>46112</v>
      </c>
      <c r="G34" s="30" t="s">
        <v>261</v>
      </c>
      <c r="H34" s="33">
        <v>0.3</v>
      </c>
      <c r="I34" s="31">
        <f t="shared" si="0"/>
        <v>3</v>
      </c>
    </row>
    <row r="35" spans="1:20" ht="15.95">
      <c r="A35" s="4" t="s">
        <v>21</v>
      </c>
      <c r="B35" s="30" t="s">
        <v>293</v>
      </c>
      <c r="C35" s="30" t="s">
        <v>169</v>
      </c>
      <c r="D35" s="30" t="s">
        <v>238</v>
      </c>
      <c r="E35" s="31">
        <v>20</v>
      </c>
      <c r="F35" s="32">
        <v>46112</v>
      </c>
      <c r="G35" s="30" t="s">
        <v>261</v>
      </c>
      <c r="H35" s="33">
        <v>0.05</v>
      </c>
      <c r="I35" s="31">
        <f t="shared" si="0"/>
        <v>1</v>
      </c>
    </row>
    <row r="36" spans="1:20" ht="15.95">
      <c r="A36" s="4" t="s">
        <v>21</v>
      </c>
      <c r="B36" s="30" t="s">
        <v>258</v>
      </c>
      <c r="C36" s="30" t="s">
        <v>294</v>
      </c>
      <c r="D36" s="30" t="s">
        <v>238</v>
      </c>
      <c r="E36" s="31">
        <v>50</v>
      </c>
      <c r="F36" s="32">
        <v>46112</v>
      </c>
      <c r="G36" s="30" t="s">
        <v>243</v>
      </c>
      <c r="H36" s="33">
        <v>0.9</v>
      </c>
      <c r="I36" s="31">
        <f t="shared" si="0"/>
        <v>45</v>
      </c>
    </row>
    <row r="37" spans="1:20">
      <c r="E37" s="34"/>
      <c r="H37" s="35"/>
      <c r="I37" s="34"/>
      <c r="K37" s="65">
        <f>SUM(K2:K36)</f>
        <v>0</v>
      </c>
      <c r="L37" s="65">
        <f t="shared" ref="L37:T37" si="1">SUM(L2:L36)</f>
        <v>57.6</v>
      </c>
      <c r="M37" s="65">
        <f t="shared" si="1"/>
        <v>0</v>
      </c>
      <c r="N37" s="65">
        <f t="shared" si="1"/>
        <v>0</v>
      </c>
      <c r="O37" s="65">
        <f t="shared" si="1"/>
        <v>0</v>
      </c>
      <c r="P37" s="65">
        <f t="shared" si="1"/>
        <v>0</v>
      </c>
      <c r="Q37" s="65">
        <f t="shared" si="1"/>
        <v>0</v>
      </c>
      <c r="R37" s="65">
        <f t="shared" si="1"/>
        <v>0</v>
      </c>
      <c r="S37" s="65">
        <f t="shared" si="1"/>
        <v>0</v>
      </c>
      <c r="T37" s="65">
        <f t="shared" si="1"/>
        <v>0</v>
      </c>
    </row>
    <row r="38" spans="1:20">
      <c r="E38" s="34"/>
      <c r="H38" s="53" t="s">
        <v>3</v>
      </c>
      <c r="I38" s="52">
        <f>'Proyección Q1 (Enero)'!J22</f>
        <v>292</v>
      </c>
    </row>
    <row r="39" spans="1:20">
      <c r="B39" s="37"/>
      <c r="E39" s="34"/>
      <c r="H39" s="36" t="s">
        <v>4</v>
      </c>
      <c r="I39" s="34">
        <f>SUM(I2:I17)</f>
        <v>1017.4000000000001</v>
      </c>
    </row>
    <row r="40" spans="1:20">
      <c r="E40" s="34"/>
      <c r="H40" s="36" t="s">
        <v>5</v>
      </c>
      <c r="I40" s="34">
        <f>SUM(I18:I36)</f>
        <v>945.4</v>
      </c>
    </row>
    <row r="41" spans="1:20">
      <c r="H41" s="50" t="s">
        <v>15</v>
      </c>
      <c r="I41" s="51">
        <f>SUM(I38:I40)</f>
        <v>2254.8000000000002</v>
      </c>
    </row>
    <row r="45" spans="1:20" ht="15.95">
      <c r="A45" s="4" t="s">
        <v>2</v>
      </c>
      <c r="B45" s="30" t="s">
        <v>524</v>
      </c>
      <c r="C45" s="30" t="s">
        <v>482</v>
      </c>
      <c r="D45" s="30" t="s">
        <v>282</v>
      </c>
      <c r="E45" s="31">
        <v>285</v>
      </c>
      <c r="F45" s="32">
        <v>46173</v>
      </c>
      <c r="G45" s="30" t="s">
        <v>331</v>
      </c>
      <c r="H45" s="33">
        <v>0.3</v>
      </c>
      <c r="I45" s="31">
        <f t="shared" ref="I45" si="2">E45*H45</f>
        <v>85.5</v>
      </c>
    </row>
    <row r="46" spans="1:20" ht="15.95">
      <c r="A46" s="4" t="s">
        <v>2</v>
      </c>
      <c r="B46" s="30" t="s">
        <v>525</v>
      </c>
      <c r="C46" s="30" t="s">
        <v>526</v>
      </c>
      <c r="D46" s="30" t="s">
        <v>282</v>
      </c>
      <c r="E46" s="31">
        <f>35*4</f>
        <v>140</v>
      </c>
      <c r="F46" s="32" t="s">
        <v>6</v>
      </c>
      <c r="G46" s="30" t="s">
        <v>331</v>
      </c>
      <c r="H46" s="33">
        <v>0.5</v>
      </c>
      <c r="I46" s="31">
        <f t="shared" ref="I46" si="3">E46*H46</f>
        <v>70</v>
      </c>
    </row>
    <row r="47" spans="1:20" s="63" customFormat="1">
      <c r="A47" s="83" t="s">
        <v>323</v>
      </c>
      <c r="B47" s="79"/>
      <c r="C47" s="79"/>
      <c r="D47" s="79"/>
      <c r="E47" s="80"/>
      <c r="F47" s="81"/>
      <c r="G47" s="79"/>
      <c r="H47" s="82"/>
      <c r="I47" s="80"/>
      <c r="J47" s="76"/>
      <c r="K47" s="78"/>
      <c r="L47" s="78"/>
      <c r="M47" s="78"/>
      <c r="N47" s="78"/>
      <c r="O47" s="78"/>
      <c r="P47" s="78"/>
      <c r="Q47" s="78"/>
      <c r="R47" s="78"/>
      <c r="S47" s="78"/>
      <c r="T47" s="78"/>
    </row>
  </sheetData>
  <autoFilter ref="A1:I41" xr:uid="{39452FBF-E5EA-451D-82A5-E1250793266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282c65-028b-40d7-9663-6d64355f592b">
      <Terms xmlns="http://schemas.microsoft.com/office/infopath/2007/PartnerControls"/>
    </lcf76f155ced4ddcb4097134ff3c332f>
    <TaxCatchAll xmlns="74c79073-40ea-4afe-912d-b5653654c4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2B64AB6F4F174B85A030E865859D9C" ma:contentTypeVersion="13" ma:contentTypeDescription="Crear nuevo documento." ma:contentTypeScope="" ma:versionID="077f01888c5b6f0f2b9fd0d51d34b418">
  <xsd:schema xmlns:xsd="http://www.w3.org/2001/XMLSchema" xmlns:xs="http://www.w3.org/2001/XMLSchema" xmlns:p="http://schemas.microsoft.com/office/2006/metadata/properties" xmlns:ns2="98282c65-028b-40d7-9663-6d64355f592b" xmlns:ns3="74c79073-40ea-4afe-912d-b5653654c450" targetNamespace="http://schemas.microsoft.com/office/2006/metadata/properties" ma:root="true" ma:fieldsID="ab8bf20703d2193c0dc9207310a0402f" ns2:_="" ns3:_="">
    <xsd:import namespace="98282c65-028b-40d7-9663-6d64355f592b"/>
    <xsd:import namespace="74c79073-40ea-4afe-912d-b5653654c4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82c65-028b-40d7-9663-6d64355f5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7343850-cb26-4909-b39b-894c9f36a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79073-40ea-4afe-912d-b5653654c45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f423210-f947-4d18-b22c-7df63104fc21}" ma:internalName="TaxCatchAll" ma:showField="CatchAllData" ma:web="74c79073-40ea-4afe-912d-b5653654c4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D74F70-BC42-4F01-9C56-02CBA7ABB3CF}"/>
</file>

<file path=customXml/itemProps2.xml><?xml version="1.0" encoding="utf-8"?>
<ds:datastoreItem xmlns:ds="http://schemas.openxmlformats.org/officeDocument/2006/customXml" ds:itemID="{37C4B200-69C4-48FE-83AC-7668DD396F0B}"/>
</file>

<file path=customXml/itemProps3.xml><?xml version="1.0" encoding="utf-8"?>
<ds:datastoreItem xmlns:ds="http://schemas.openxmlformats.org/officeDocument/2006/customXml" ds:itemID="{BC1AA07D-D891-46B8-BCF0-F998DAAE3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Valentina Arenas</cp:lastModifiedBy>
  <cp:revision/>
  <dcterms:created xsi:type="dcterms:W3CDTF">2026-01-21T22:37:44Z</dcterms:created>
  <dcterms:modified xsi:type="dcterms:W3CDTF">2026-07-28T13:36:14Z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0x010100642B64AB6F4F174B85A030E865859D9C</vt:lpwstr>
  </property>
  <property fmtid="{D5CDD505-2E9C-101B-9397-08002B2CF9AE}" pid="3" name="MediaServiceImageTags">
    <vt:lpwstr/>
  </property>
</Properties>
</file>