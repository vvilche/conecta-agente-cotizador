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 DE CONTROL" sheetId="1" r:id="rId5"/>
    <sheet state="visible" name="METAS VTAS Y OCS" sheetId="2" r:id="rId6"/>
    <sheet state="visible" name="PROYECCIÓN" sheetId="3" r:id="rId7"/>
    <sheet state="visible" name="PRESUPUESTO" sheetId="4" r:id="rId8"/>
    <sheet state="visible" name="BONOS" sheetId="5" r:id="rId9"/>
  </sheets>
  <definedNames>
    <definedName hidden="1" localSheetId="1" name="_xlnm._FilterDatabase">'METAS VTAS Y OCS'!$B$64:$J$182</definedName>
    <definedName hidden="1" localSheetId="2" name="_xlnm._FilterDatabase">'PROYECCIÓN'!$B$3:$J$558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0">
      <text>
        <t xml:space="preserve">48.495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3">
      <text>
        <t xml:space="preserve">% de que se haga 100%
Éxito 30%
Total 30%</t>
      </text>
    </comment>
    <comment authorId="0" ref="H540">
      <text>
        <t xml:space="preserve">% de que se haga 50%
Éxito 50%
Total 25%</t>
      </text>
    </comment>
    <comment authorId="0" ref="H314">
      <text>
        <t xml:space="preserve">15%</t>
      </text>
    </comment>
    <comment authorId="0" ref="H472">
      <text>
        <t xml:space="preserve">% de que se haga 50%
Éxito 20%
Total 10%</t>
      </text>
    </comment>
    <comment authorId="0" ref="E275">
      <text>
        <t xml:space="preserve">1. MALLARAUCO
2. ANCOA</t>
      </text>
    </comment>
    <comment authorId="0" ref="H310">
      <text>
        <t xml:space="preserve">15%</t>
      </text>
    </comment>
    <comment authorId="0" ref="H470">
      <text>
        <t xml:space="preserve">30%</t>
      </text>
    </comment>
    <comment authorId="0" ref="H468">
      <text>
        <t xml:space="preserve">30%</t>
      </text>
    </comment>
    <comment authorId="0" ref="H403">
      <text>
        <t xml:space="preserve">% de que se haga 50%
Éxito 30%
Total 15%</t>
      </text>
    </comment>
    <comment authorId="0" ref="H528">
      <text>
        <t xml:space="preserve">15%</t>
      </text>
    </comment>
    <comment authorId="0" ref="H14">
      <text>
        <t xml:space="preserve">% de que se haga 50%
Éxito 50%
Total 25%</t>
      </text>
    </comment>
    <comment authorId="0" ref="H460">
      <text>
        <t xml:space="preserve">% de que se haga 50%
Éxito 50%
Total 25%</t>
      </text>
    </comment>
  </commentList>
</comments>
</file>

<file path=xl/sharedStrings.xml><?xml version="1.0" encoding="utf-8"?>
<sst xmlns="http://schemas.openxmlformats.org/spreadsheetml/2006/main" count="1868" uniqueCount="802">
  <si>
    <t>PANEL DE CONTROL BOOKING M$</t>
  </si>
  <si>
    <t>Unidad de Negocio</t>
  </si>
  <si>
    <t>Booking 
2023</t>
  </si>
  <si>
    <t>Booking 
2024</t>
  </si>
  <si>
    <t>PROYECCIÓN BOOKING</t>
  </si>
  <si>
    <t>Meta 
2025</t>
  </si>
  <si>
    <t>Proy 2025 vs 
Resultado 2024</t>
  </si>
  <si>
    <t>Meta a Nov 2025</t>
  </si>
  <si>
    <t>Posicionamiento y cotización</t>
  </si>
  <si>
    <t>Booking logrado al</t>
  </si>
  <si>
    <t>Var</t>
  </si>
  <si>
    <t>Pronóstico Diciembre</t>
  </si>
  <si>
    <t>Pronóstico Resultado Anual</t>
  </si>
  <si>
    <t>Var Meta 
2025</t>
  </si>
  <si>
    <t>Var 
2024</t>
  </si>
  <si>
    <t>Filtro</t>
  </si>
  <si>
    <t>MES</t>
  </si>
  <si>
    <t>CLIENTE</t>
  </si>
  <si>
    <t>PROYECTO</t>
  </si>
  <si>
    <t>Sistemas Normativos</t>
  </si>
  <si>
    <t>MONTO</t>
  </si>
  <si>
    <t>%</t>
  </si>
  <si>
    <t>VENTA CON %</t>
  </si>
  <si>
    <t>ETAPA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</si>
  <si>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</si>
  <si>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</si>
  <si>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</si>
  <si>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</si>
  <si>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</si>
  <si>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</si>
  <si>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</si>
  <si>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</si>
  <si>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</si>
  <si>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</si>
  <si>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</si>
  <si>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</si>
  <si>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SCADAS Y SAC</t>
  </si>
  <si>
    <t>ENERO</t>
  </si>
  <si>
    <t>Enor</t>
  </si>
  <si>
    <t>Adicional adecuaciones SITR</t>
  </si>
  <si>
    <t>PAC</t>
  </si>
  <si>
    <t>Total</t>
  </si>
  <si>
    <t>MARZO</t>
  </si>
  <si>
    <t>Metro</t>
  </si>
  <si>
    <t>Mantenimiento EDAC</t>
  </si>
  <si>
    <t>Supcon - Sistemas</t>
  </si>
  <si>
    <t>Pronóstico 2026</t>
  </si>
  <si>
    <t>Q1</t>
  </si>
  <si>
    <t>Q2</t>
  </si>
  <si>
    <t>Q3</t>
  </si>
  <si>
    <t>Q4</t>
  </si>
  <si>
    <t>Generadora Metropolitana</t>
  </si>
  <si>
    <t>Visita Levantamiento - PMU - Planta CEME 1</t>
  </si>
  <si>
    <t>Repsol</t>
  </si>
  <si>
    <t>EDAGxCE</t>
  </si>
  <si>
    <t>Cierre</t>
  </si>
  <si>
    <t>METAS VENTA Y OCS 2025 MCLP</t>
  </si>
  <si>
    <t>Fecha actualización</t>
  </si>
  <si>
    <t>Normativo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</si>
  <si>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</si>
  <si>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</si>
  <si>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</si>
  <si>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</si>
  <si>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</si>
  <si>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</si>
  <si>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</si>
  <si>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</si>
  <si>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</si>
  <si>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</si>
  <si>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</si>
  <si>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</si>
  <si>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Transelec</t>
  </si>
  <si>
    <t>Cambio PDC Maitencillo</t>
  </si>
  <si>
    <t>Facturación</t>
  </si>
  <si>
    <t>Meta acumulada</t>
  </si>
  <si>
    <t>Añadir flujo</t>
  </si>
  <si>
    <t>Proyección anual</t>
  </si>
  <si>
    <t>ABRIL</t>
  </si>
  <si>
    <t>Cementos Melon</t>
  </si>
  <si>
    <t>Mtto EDAC</t>
  </si>
  <si>
    <t>Posicionamiento</t>
  </si>
  <si>
    <t>OCs acumuladas</t>
  </si>
  <si>
    <t>BONOS</t>
  </si>
  <si>
    <t>Simulación</t>
  </si>
  <si>
    <t>Bono:</t>
  </si>
  <si>
    <t>10% de todo lo que supere la Meta Piso</t>
  </si>
  <si>
    <t>Al 18 de Julio</t>
  </si>
  <si>
    <t>Proyección 2do Semestre</t>
  </si>
  <si>
    <t>Meta Piso:</t>
  </si>
  <si>
    <t>Margen bruto</t>
  </si>
  <si>
    <t>MB a Junio</t>
  </si>
  <si>
    <t>FEBRERO</t>
  </si>
  <si>
    <t>X-elio</t>
  </si>
  <si>
    <t>Servicio de configuración de enlaces y pruebas de operatividad EDAGxCE</t>
  </si>
  <si>
    <t>OCs mensual</t>
  </si>
  <si>
    <t>Margen Bono</t>
  </si>
  <si>
    <t>Medición Semestral M$</t>
  </si>
  <si>
    <t>Bono</t>
  </si>
  <si>
    <t>Amanecer Solar</t>
  </si>
  <si>
    <t>Asignación</t>
  </si>
  <si>
    <t>Adicionales SLRP</t>
  </si>
  <si>
    <t>Franco Travaglini</t>
  </si>
  <si>
    <t>Kevin Fuentealba</t>
  </si>
  <si>
    <t>MAYO</t>
  </si>
  <si>
    <t>Bruno Jofré</t>
  </si>
  <si>
    <t>Hidropalmar</t>
  </si>
  <si>
    <t>PMU</t>
  </si>
  <si>
    <t>Francisco Catalán</t>
  </si>
  <si>
    <t>Corregir flujo</t>
  </si>
  <si>
    <t>Carlos Canelo</t>
  </si>
  <si>
    <t>Con proporcional de Carlos Canelo (Ingreso en Junio):</t>
  </si>
  <si>
    <t>Evaluar el pago trimestral</t>
  </si>
  <si>
    <t>PMU Ancud</t>
  </si>
  <si>
    <t>Pago mensual</t>
  </si>
  <si>
    <t>Añadir bonos totales en EERR 2026</t>
  </si>
  <si>
    <t>Proyección al 2031</t>
  </si>
  <si>
    <t>Por pagar real</t>
  </si>
  <si>
    <t>Pago</t>
  </si>
  <si>
    <t>Informado</t>
  </si>
  <si>
    <t>PDC Zona Norte</t>
  </si>
  <si>
    <t>NORMATIVO</t>
  </si>
  <si>
    <t>JULIO</t>
  </si>
  <si>
    <t>Pagado</t>
  </si>
  <si>
    <t>UTFSM</t>
  </si>
  <si>
    <t>Suministro OPAL</t>
  </si>
  <si>
    <t>TOTAL</t>
  </si>
  <si>
    <t>1% de la venta</t>
  </si>
  <si>
    <t>JUNIO</t>
  </si>
  <si>
    <t>Generadora</t>
  </si>
  <si>
    <t>Faltantes PMU Nueva Renca</t>
  </si>
  <si>
    <t>OCs</t>
  </si>
  <si>
    <t>AGOSTO</t>
  </si>
  <si>
    <t>Mainstream</t>
  </si>
  <si>
    <t>5 x EDAG x CE</t>
  </si>
  <si>
    <t>Perdido</t>
  </si>
  <si>
    <t>Actualizar por ingeteam</t>
  </si>
  <si>
    <t>AES</t>
  </si>
  <si>
    <t>EDAG Bess Arenales</t>
  </si>
  <si>
    <t>Actualizar flujo</t>
  </si>
  <si>
    <t>Cliente</t>
  </si>
  <si>
    <t>OT</t>
  </si>
  <si>
    <t>UF</t>
  </si>
  <si>
    <t>M$</t>
  </si>
  <si>
    <t>Costo Bruto M$</t>
  </si>
  <si>
    <t>Margen Bruto $</t>
  </si>
  <si>
    <t>Costo Neto M$</t>
  </si>
  <si>
    <t>Margen Neto $</t>
  </si>
  <si>
    <t>Línea</t>
  </si>
  <si>
    <t>Descripcion</t>
  </si>
  <si>
    <t>Enor Chile</t>
  </si>
  <si>
    <t>Adicionales Servicio de adecuacion para señales SITR</t>
  </si>
  <si>
    <t>Norvind</t>
  </si>
  <si>
    <t>Scada y SAC</t>
  </si>
  <si>
    <t>Servicio de Mantenimiento Preventivo SCADA</t>
  </si>
  <si>
    <t>Melon</t>
  </si>
  <si>
    <t>Diagnostico remoto para detectar fallas de comunicación en sistema EDAC.</t>
  </si>
  <si>
    <t>-</t>
  </si>
  <si>
    <t>Sonnedix</t>
  </si>
  <si>
    <t>PMU Meseta de los Andes</t>
  </si>
  <si>
    <t>Celeo</t>
  </si>
  <si>
    <t>7070-00</t>
  </si>
  <si>
    <t>suministro de dos (2) GPS Kronos</t>
  </si>
  <si>
    <t>Ordenes de Compra Enero</t>
  </si>
  <si>
    <t>Grupo Cerro</t>
  </si>
  <si>
    <t>8349-00</t>
  </si>
  <si>
    <t>Parametrizar 7 Protecciones</t>
  </si>
  <si>
    <t>Hidroelectrica Puclaro</t>
  </si>
  <si>
    <t>Serv Implementacion Control de Alabes remoto</t>
  </si>
  <si>
    <t>8350-00</t>
  </si>
  <si>
    <t>Levantamiento y revision instalación PMU</t>
  </si>
  <si>
    <t>Hidroelectrica Rio Colorado</t>
  </si>
  <si>
    <t>5185-00</t>
  </si>
  <si>
    <t>Cabo Leones II Fase 2</t>
  </si>
  <si>
    <t>Integración Central Rio Colorado</t>
  </si>
  <si>
    <t>Hidroelectrica Mallarauco</t>
  </si>
  <si>
    <t>Suministro, montaje y configuración de tarjeta de señales digitales</t>
  </si>
  <si>
    <t>Guacolda Energia SpA</t>
  </si>
  <si>
    <t>8351-00</t>
  </si>
  <si>
    <t>Normalizar las protecciones de la planta TG Huasco:</t>
  </si>
  <si>
    <t>Colbun</t>
  </si>
  <si>
    <t>8352-00</t>
  </si>
  <si>
    <t>Integracion de señales parque eolico Totoral</t>
  </si>
  <si>
    <t>Suministros modulo IO y servicios S/E Itahue y Quillota</t>
  </si>
  <si>
    <t>Ordenes de Compra Febrero</t>
  </si>
  <si>
    <t>Grenergy</t>
  </si>
  <si>
    <t>EDAGxCE Quillagua</t>
  </si>
  <si>
    <t>Mant. Sistema Desconexion Automatica Cargas</t>
  </si>
  <si>
    <t>Parque Eolico Antofagasta</t>
  </si>
  <si>
    <t>5186-00</t>
  </si>
  <si>
    <t>Implementacion EDAGxCE PE Antofagasta</t>
  </si>
  <si>
    <t>Hidroelectrica El Paso</t>
  </si>
  <si>
    <t>5187-00</t>
  </si>
  <si>
    <t>Desarrollar un sistema Scada que integre las 3 unidades</t>
  </si>
  <si>
    <t>Chilquinta</t>
  </si>
  <si>
    <t>5188-00</t>
  </si>
  <si>
    <t>Servicio Reemplazo RTU S/E Mayaca</t>
  </si>
  <si>
    <t>8353-00</t>
  </si>
  <si>
    <t>Migrar el PDC del servidor de Maitencillo</t>
  </si>
  <si>
    <t>Aguas Antofagasta</t>
  </si>
  <si>
    <t>8354-00</t>
  </si>
  <si>
    <t>EDAGxCE Gabriela</t>
  </si>
  <si>
    <t>Instalacion de 2 medidores inteligentes</t>
  </si>
  <si>
    <t>Extensión mantenimiento</t>
  </si>
  <si>
    <t>Ordenes de Compra Marzo</t>
  </si>
  <si>
    <t>Extensión del Mtto del PDCE Fase 1 y 3</t>
  </si>
  <si>
    <t>Cia.Min.Teck Carmen Andacollo</t>
  </si>
  <si>
    <t>8355-00</t>
  </si>
  <si>
    <t>Servicio de Visita Prueba EDAC</t>
  </si>
  <si>
    <t>Occidental Chemical</t>
  </si>
  <si>
    <t>8356-00</t>
  </si>
  <si>
    <t>Pruebas e Informe EDAC</t>
  </si>
  <si>
    <t>8357-00</t>
  </si>
  <si>
    <t>Servicio de soporte de Sistema EDAC</t>
  </si>
  <si>
    <t>8358-00</t>
  </si>
  <si>
    <t>Mantos de la luna</t>
  </si>
  <si>
    <t>SITR</t>
  </si>
  <si>
    <t>Adicional de Adecuaciones SLRP PFV Amanecer</t>
  </si>
  <si>
    <t>Energya S.A.</t>
  </si>
  <si>
    <t>Adicional FFOO</t>
  </si>
  <si>
    <t>Adicionales Parametrizar 7 Protecciones</t>
  </si>
  <si>
    <t>Suministro - Licencia Advance Match and Logic</t>
  </si>
  <si>
    <t>Empresa Electrica Ventanas</t>
  </si>
  <si>
    <t>8359-00</t>
  </si>
  <si>
    <t>PMU Atacama Solar II</t>
  </si>
  <si>
    <t>Levantamiento comunicaciones SE Ventanas y SE GIS</t>
  </si>
  <si>
    <t>Hidroelectrica Don Eugenio SpA</t>
  </si>
  <si>
    <t>8360-00</t>
  </si>
  <si>
    <t>Configuración y pruebas EM PRMT</t>
  </si>
  <si>
    <t>Regional Electrica Lllanquihue</t>
  </si>
  <si>
    <t>8361-00</t>
  </si>
  <si>
    <t>Ejecución de pruebas EDAC</t>
  </si>
  <si>
    <t>Órdenes de Compra Abril</t>
  </si>
  <si>
    <t>Hitachi Energy</t>
  </si>
  <si>
    <t>Licencia PDC Corporativo</t>
  </si>
  <si>
    <t>Servicio Config y Prueba IED CP-HT2</t>
  </si>
  <si>
    <t>5189-00</t>
  </si>
  <si>
    <t>Implementacion PDC Zona Norte en SE Encuentro</t>
  </si>
  <si>
    <t>5190-00</t>
  </si>
  <si>
    <t>Implementación e integración de 2 PMU en SE Ancud</t>
  </si>
  <si>
    <t>Hidropalmar spa</t>
  </si>
  <si>
    <t>5191-00</t>
  </si>
  <si>
    <t>Suministro e implementacion PMU Central Palmar</t>
  </si>
  <si>
    <t>Órdenes de Compra Mayo</t>
  </si>
  <si>
    <t>Cabo Leones</t>
  </si>
  <si>
    <t>Vertice</t>
  </si>
  <si>
    <t>8362-00</t>
  </si>
  <si>
    <t>Pruebas EDACxBF</t>
  </si>
  <si>
    <t>CMP</t>
  </si>
  <si>
    <t>8363-00</t>
  </si>
  <si>
    <t>Mytilineos</t>
  </si>
  <si>
    <t>PDC</t>
  </si>
  <si>
    <t>Cambio de protección eléctrica del EDAC Panta Pellet</t>
  </si>
  <si>
    <t>5192-00</t>
  </si>
  <si>
    <t>Desarrollo del Centro de Control</t>
  </si>
  <si>
    <t>Enap Refinerias</t>
  </si>
  <si>
    <t>5193-00</t>
  </si>
  <si>
    <t>Oxy</t>
  </si>
  <si>
    <t>Reconfiguración de comunicaciones</t>
  </si>
  <si>
    <t>Diagnosticar el problema del automatismo Isla de la refineria</t>
  </si>
  <si>
    <t>Serlev</t>
  </si>
  <si>
    <t>7071-00</t>
  </si>
  <si>
    <t>OrionMX-IO-WR</t>
  </si>
  <si>
    <t>Órdenes de Compra Junio</t>
  </si>
  <si>
    <t>Ibereolica</t>
  </si>
  <si>
    <t>Ciberseguridad</t>
  </si>
  <si>
    <t>Cambio de protección eléctrica del EDAC Planta Romeral</t>
  </si>
  <si>
    <t>AES Andes</t>
  </si>
  <si>
    <t>5194-00</t>
  </si>
  <si>
    <t>Implementacion EDAG para operación BESS Arenales</t>
  </si>
  <si>
    <t>5196-00</t>
  </si>
  <si>
    <t>SCADA PE TOTORAL</t>
  </si>
  <si>
    <t>Arauco</t>
  </si>
  <si>
    <t>5199-00</t>
  </si>
  <si>
    <t>ADASA</t>
  </si>
  <si>
    <t>Reemplazo RTU</t>
  </si>
  <si>
    <t>04 PMU con armarios y FAT</t>
  </si>
  <si>
    <t>Adasa</t>
  </si>
  <si>
    <t>5195-00</t>
  </si>
  <si>
    <t>está en posicionamiento</t>
  </si>
  <si>
    <t>Suministro Orion</t>
  </si>
  <si>
    <t>8364-00</t>
  </si>
  <si>
    <t>Mant Sist de Desconexión Automática de Cargas EDAC – SITR</t>
  </si>
  <si>
    <t>Órdenes de Compra Julio</t>
  </si>
  <si>
    <t>IO Integracion Sistemas</t>
  </si>
  <si>
    <t>7072-00</t>
  </si>
  <si>
    <t>03 GPS Kronos</t>
  </si>
  <si>
    <t>Minera Meridian</t>
  </si>
  <si>
    <t>8365-00</t>
  </si>
  <si>
    <t>Integracion de señales EDAC a SITR</t>
  </si>
  <si>
    <t>EDAGxCE CEME-1</t>
  </si>
  <si>
    <t>8366-00</t>
  </si>
  <si>
    <t>Integración de proteción REQ650 a RTU Orion Novatech</t>
  </si>
  <si>
    <t>Ibereolica Cabo Leones II</t>
  </si>
  <si>
    <t>5197-00</t>
  </si>
  <si>
    <t>Suminsitro y implementacion PMU Cabo Leones II</t>
  </si>
  <si>
    <t>Parque Eolico Atacama</t>
  </si>
  <si>
    <t>5198-00</t>
  </si>
  <si>
    <t>Suminsitro y implementacion PMU Atacama</t>
  </si>
  <si>
    <t>Adicionales por reemplazo de RTU en SE Diego de Almagro</t>
  </si>
  <si>
    <t>Desarrollar SCADA Nivel 2 para PFV</t>
  </si>
  <si>
    <t>Mantos Cooper</t>
  </si>
  <si>
    <t>PMU Mantos Blancos</t>
  </si>
  <si>
    <t>Órdenes de Compra Agosto</t>
  </si>
  <si>
    <t>Mantoverde S.A.</t>
  </si>
  <si>
    <t>8367-00</t>
  </si>
  <si>
    <t>Ejecución de asistencia a pruebas de teleprotecciones</t>
  </si>
  <si>
    <t>8368-00</t>
  </si>
  <si>
    <t>Servicio de Diagnostico EDAC</t>
  </si>
  <si>
    <t>Cia Transmisora Norte Grande</t>
  </si>
  <si>
    <t>Servicios Retrofit RTU Ventana</t>
  </si>
  <si>
    <t>Cotización</t>
  </si>
  <si>
    <t>Ingenieria y Tecnologia</t>
  </si>
  <si>
    <t>8369-00</t>
  </si>
  <si>
    <t>Servicio Actualización Configuración SLRP</t>
  </si>
  <si>
    <t>Fasor Ingenieria</t>
  </si>
  <si>
    <t>8372-00</t>
  </si>
  <si>
    <t>Integracion de 12 protecciones SLRP</t>
  </si>
  <si>
    <t>8371-00</t>
  </si>
  <si>
    <t>Mantenimiento Programado y preventivo</t>
  </si>
  <si>
    <t>8370-00</t>
  </si>
  <si>
    <t>Servicio de mantenimiento PDCE</t>
  </si>
  <si>
    <t>Órdenes de Compra Septiembre</t>
  </si>
  <si>
    <t>Copec</t>
  </si>
  <si>
    <t>8373-00</t>
  </si>
  <si>
    <t>Unipapel</t>
  </si>
  <si>
    <t>EDAC</t>
  </si>
  <si>
    <t>configuración completa del sistema SCADA Zenon</t>
  </si>
  <si>
    <t>Suministro 6 tarjetas IO</t>
  </si>
  <si>
    <t>8374-00</t>
  </si>
  <si>
    <t>Pruebas PRS</t>
  </si>
  <si>
    <t>Sigma</t>
  </si>
  <si>
    <t>8375-00</t>
  </si>
  <si>
    <t>Servicio Actualizacion EDAC</t>
  </si>
  <si>
    <t>5202-00</t>
  </si>
  <si>
    <t>Implentacion de un SLRP en el servidor SCADA</t>
  </si>
  <si>
    <t>CGE Transmision</t>
  </si>
  <si>
    <t>7073-00</t>
  </si>
  <si>
    <t>03 Licencia ELPROS</t>
  </si>
  <si>
    <t>Metlen</t>
  </si>
  <si>
    <t>5200-00</t>
  </si>
  <si>
    <t>Suministro instalacion 04 PMU</t>
  </si>
  <si>
    <t>Órdenes de Compra Octubre</t>
  </si>
  <si>
    <t>4 x PMU + PDC</t>
  </si>
  <si>
    <t>Guacolda</t>
  </si>
  <si>
    <t>5203-00</t>
  </si>
  <si>
    <t>Suministro y servicios de reemplazo de 3 Proteciones Transformador</t>
  </si>
  <si>
    <t>Suministro Integracion y Block de Pruebas</t>
  </si>
  <si>
    <t>8376-00</t>
  </si>
  <si>
    <t>Actualizacion EDAC incorporando señales</t>
  </si>
  <si>
    <t>8377-00</t>
  </si>
  <si>
    <t>Sistema de Monitoreo en tiempo real</t>
  </si>
  <si>
    <t>Teck Carmen de Andacollo</t>
  </si>
  <si>
    <t>8378-00</t>
  </si>
  <si>
    <t>Evaluar el cumplimiento del esquema de desconexion Aut de carga</t>
  </si>
  <si>
    <t>Cancelado</t>
  </si>
  <si>
    <t>Implementación 4 PMU</t>
  </si>
  <si>
    <t>8379-00</t>
  </si>
  <si>
    <t>Virtualizacion PDC</t>
  </si>
  <si>
    <t>Adicional de Materiales de reemplazo ( Borneras y Cableado )</t>
  </si>
  <si>
    <t>7074-00</t>
  </si>
  <si>
    <t>01 GPS Kronos</t>
  </si>
  <si>
    <t>7075-00</t>
  </si>
  <si>
    <t>Gestionador de remotas Orion ( Servidor )</t>
  </si>
  <si>
    <t>Implementacion de PDC redundante</t>
  </si>
  <si>
    <t>AR Cerro Tigre SpA</t>
  </si>
  <si>
    <t>5204-00</t>
  </si>
  <si>
    <t>Reemplazo RTU AK3</t>
  </si>
  <si>
    <t>TEN</t>
  </si>
  <si>
    <t>Parque Solar Fotovoltaico Luz del Norte</t>
  </si>
  <si>
    <t>7076-00</t>
  </si>
  <si>
    <t>7077-00</t>
  </si>
  <si>
    <t>7078-00</t>
  </si>
  <si>
    <t>OrionLX+ - OrionI/O - Touch Screen Monitor, 19"</t>
  </si>
  <si>
    <t>Agrosonda</t>
  </si>
  <si>
    <t>5205-00</t>
  </si>
  <si>
    <t>Implementacion PMU ODC Bess Arenas</t>
  </si>
  <si>
    <t>5206-00</t>
  </si>
  <si>
    <t>Implementacion PMU Arauco TG8 y Cholguan</t>
  </si>
  <si>
    <t>8380-00</t>
  </si>
  <si>
    <t>Reemplazo Rele EDAC OXY por nuevo SEL 451</t>
  </si>
  <si>
    <t>Ing y Aplicaciones Eléctricas</t>
  </si>
  <si>
    <t>5201-00</t>
  </si>
  <si>
    <t>Implementacion PDC Los Pelambres</t>
  </si>
  <si>
    <t>MAPA</t>
  </si>
  <si>
    <t>Seis</t>
  </si>
  <si>
    <t>7079-00</t>
  </si>
  <si>
    <t>7080-00</t>
  </si>
  <si>
    <t>OrionLX</t>
  </si>
  <si>
    <t>Hidroelectrica Allipen</t>
  </si>
  <si>
    <t>8381-00</t>
  </si>
  <si>
    <t>Integracion de interruptor en el Scada</t>
  </si>
  <si>
    <t>Órdenes de Compra Noviembre</t>
  </si>
  <si>
    <t>8383-00</t>
  </si>
  <si>
    <t>Integracion PMU PFV Bolero</t>
  </si>
  <si>
    <t>Parque Eolico Cabo Leones</t>
  </si>
  <si>
    <t>Enel</t>
  </si>
  <si>
    <t>PDC Wa Protector</t>
  </si>
  <si>
    <t>Adicional Implementación PMU Cabo Leones</t>
  </si>
  <si>
    <t>Suministro de Repuestos Orion LX y IO</t>
  </si>
  <si>
    <t>5208-00</t>
  </si>
  <si>
    <t>02 PMU SE Parral y C Navia</t>
  </si>
  <si>
    <t>Comasa</t>
  </si>
  <si>
    <t>5209-00</t>
  </si>
  <si>
    <t>Implementacion 2 PMU Termo electrica Lautaro</t>
  </si>
  <si>
    <t>Empresa Electrica Angamos</t>
  </si>
  <si>
    <t>5210-00</t>
  </si>
  <si>
    <t>Suministro e Implement 13 medidores SATEC</t>
  </si>
  <si>
    <t>Acciona</t>
  </si>
  <si>
    <t>5211-00</t>
  </si>
  <si>
    <t>Suminstro e Implemnt de PDC WAProtector</t>
  </si>
  <si>
    <t>PE Cabo Leones III</t>
  </si>
  <si>
    <t>5212-00</t>
  </si>
  <si>
    <t>Implementacion PMU Cabo Leones III</t>
  </si>
  <si>
    <t>5213-00</t>
  </si>
  <si>
    <t>PMU Valle del sol</t>
  </si>
  <si>
    <t>Implementacion PMU Arauco TG4/5 y TG6</t>
  </si>
  <si>
    <t>Engie</t>
  </si>
  <si>
    <t>5214-00</t>
  </si>
  <si>
    <t>Suministro y implementacion 2 Synchrotec</t>
  </si>
  <si>
    <t>8382-00</t>
  </si>
  <si>
    <t>Integracion PMU S/E Futuro</t>
  </si>
  <si>
    <t>8384-00</t>
  </si>
  <si>
    <t>Servcicio de configuración del HMI del Orion LX+</t>
  </si>
  <si>
    <t>8385-00</t>
  </si>
  <si>
    <t>Pruebas PRS-Scada</t>
  </si>
  <si>
    <t>Electrica Llanquihue</t>
  </si>
  <si>
    <t>8386-00</t>
  </si>
  <si>
    <t>ENAP</t>
  </si>
  <si>
    <t>Otras PMU</t>
  </si>
  <si>
    <t>Mejoras y modificaciones protecciones</t>
  </si>
  <si>
    <t>Órdenes de Compra Diciembre</t>
  </si>
  <si>
    <t>Acumulado Ordenes de Compra 2025</t>
  </si>
  <si>
    <t>EDAG DDA - Paposo Actualización</t>
  </si>
  <si>
    <t>Margen Piso</t>
  </si>
  <si>
    <t>SEPTIEMRE</t>
  </si>
  <si>
    <t>Tecma</t>
  </si>
  <si>
    <t>marzo</t>
  </si>
  <si>
    <t>Integración PMU Pelícano a PDC Charrúa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</si>
  <si>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</si>
  <si>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</si>
  <si>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</si>
  <si>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</si>
  <si>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</si>
  <si>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</si>
  <si>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</si>
  <si>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</si>
  <si>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</si>
  <si>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Capstone Copper</t>
  </si>
  <si>
    <t>PMU Mantos Blanco</t>
  </si>
  <si>
    <t>Bono Total</t>
  </si>
  <si>
    <t>Pendiente de pago</t>
  </si>
  <si>
    <t>Clientes que pagaron en Enero y Febrero 2026 y por ende se incluirá en pago de Marzo.</t>
  </si>
  <si>
    <t>SEPTIEMBRE</t>
  </si>
  <si>
    <t>Bio bio</t>
  </si>
  <si>
    <t>OPAL</t>
  </si>
  <si>
    <t>A pagar en Marzo 2026</t>
  </si>
  <si>
    <t>2 PMU</t>
  </si>
  <si>
    <t>Collahuasi</t>
  </si>
  <si>
    <t>Orygen</t>
  </si>
  <si>
    <t>ERAG Wayra Solar</t>
  </si>
  <si>
    <t>OCTUBRE</t>
  </si>
  <si>
    <t>Fasor</t>
  </si>
  <si>
    <t>Actualización SLRP</t>
  </si>
  <si>
    <t>NOVIEMBRE</t>
  </si>
  <si>
    <t>Minera Los Pelambres</t>
  </si>
  <si>
    <t>PDCE e integración de PMU al CEN</t>
  </si>
  <si>
    <t>PMU Tamarico, Tocopilla, Doña Antonia y Willka</t>
  </si>
  <si>
    <t>DICIEMBRE</t>
  </si>
  <si>
    <t>2 PMU (Parral y Cerro Navia)</t>
  </si>
  <si>
    <t>Monitoreo de Enlaces</t>
  </si>
  <si>
    <t>Grupo Ibereolica</t>
  </si>
  <si>
    <t>PMU CL2</t>
  </si>
  <si>
    <t>Atacama</t>
  </si>
  <si>
    <t>PMU CEME-1</t>
  </si>
  <si>
    <t>PDC para 6 PMU</t>
  </si>
  <si>
    <t>Contrato Marco PMU</t>
  </si>
  <si>
    <t>EDAG Morrope</t>
  </si>
  <si>
    <t>Kospo</t>
  </si>
  <si>
    <t>SAESA</t>
  </si>
  <si>
    <t>PMU Integración</t>
  </si>
  <si>
    <t>SLRP Conexión al CEN</t>
  </si>
  <si>
    <t>UCH</t>
  </si>
  <si>
    <t>Opal</t>
  </si>
  <si>
    <t>PRESUPUESTO DE GASTOS OPERACIONALES</t>
  </si>
  <si>
    <t>Código</t>
  </si>
  <si>
    <t>Teck</t>
  </si>
  <si>
    <t>Auditoría EDAC</t>
  </si>
  <si>
    <t>Añadir cash</t>
  </si>
  <si>
    <t>Ítem</t>
  </si>
  <si>
    <t>Descripción</t>
  </si>
  <si>
    <t>Presupuesto Inicial</t>
  </si>
  <si>
    <t>Reasignado en Junio</t>
  </si>
  <si>
    <t>Reasignación Final</t>
  </si>
  <si>
    <t>Real a Noviembre</t>
  </si>
  <si>
    <t>Atlas</t>
  </si>
  <si>
    <t>EDAG PF Javiera</t>
  </si>
  <si>
    <t>Saldo</t>
  </si>
  <si>
    <t>Presupuesto 2026</t>
  </si>
  <si>
    <t>Personnel &amp; Related</t>
  </si>
  <si>
    <t>Curso Área Comercial - Protecciones eléctricas</t>
  </si>
  <si>
    <t>EDAG PF Sol del desierto</t>
  </si>
  <si>
    <t>Curso Área Comercial - Mercado eléctrico y otro -&gt; Servicios Maximiliano Arne</t>
  </si>
  <si>
    <t>Hidro El Paso</t>
  </si>
  <si>
    <t>SLRP</t>
  </si>
  <si>
    <t>Curso Área Comercial - Diseño de C&amp;P y Diseño Redes</t>
  </si>
  <si>
    <t>Melón</t>
  </si>
  <si>
    <t>Visita</t>
  </si>
  <si>
    <t>Curso Área Comercial - Academia de Prospección</t>
  </si>
  <si>
    <t>Mantenimiento</t>
  </si>
  <si>
    <t>Promotion</t>
  </si>
  <si>
    <t>Vestuario</t>
  </si>
  <si>
    <t>Tarjetas</t>
  </si>
  <si>
    <t>Vértice</t>
  </si>
  <si>
    <t>Suministro GPS</t>
  </si>
  <si>
    <t>Salon Hotel</t>
  </si>
  <si>
    <t>Merchandising</t>
  </si>
  <si>
    <t>Charlas Conecta</t>
  </si>
  <si>
    <t>SITR ENAEX</t>
  </si>
  <si>
    <t>Marketing - Pagina WEB Diseño (COP) - Revistas</t>
  </si>
  <si>
    <t>Marketing - Mariela Castro</t>
  </si>
  <si>
    <t>Actividades adicionales EDAG Bolero</t>
  </si>
  <si>
    <t>Marketing - Pagina WEB (COP) - Marketing Digital</t>
  </si>
  <si>
    <t>CGE</t>
  </si>
  <si>
    <t>Licencia corporativo SE Central Pullinque</t>
  </si>
  <si>
    <t>Marketing - Manejo de Linkedin (COP) Stephanny</t>
  </si>
  <si>
    <t>Membresia Fundacion Minera</t>
  </si>
  <si>
    <t>Toesca</t>
  </si>
  <si>
    <t>Licencia PDC</t>
  </si>
  <si>
    <t>Antucoya</t>
  </si>
  <si>
    <t>Mtto SLRP</t>
  </si>
  <si>
    <t>Regalos corporativos</t>
  </si>
  <si>
    <t>Marketing - Nuevo Host Pagina WEB</t>
  </si>
  <si>
    <t>Asesoria Software - Bastian SITR y SLRP</t>
  </si>
  <si>
    <t>Talleres</t>
  </si>
  <si>
    <t>Adicional - HMI</t>
  </si>
  <si>
    <t>SAM 1,2,3,4,5</t>
  </si>
  <si>
    <t>Jornadas Técnicas -Evemto ECCE- Eventos extranjero distributech</t>
  </si>
  <si>
    <t>Grupoibereolica</t>
  </si>
  <si>
    <t xml:space="preserve">Supplies </t>
  </si>
  <si>
    <t>Hubspot</t>
  </si>
  <si>
    <t>Travel &amp; Transportation</t>
  </si>
  <si>
    <t>Traslados Área Comercial - Avión y Bus</t>
  </si>
  <si>
    <t>Viajes Área Comercial - Extranjero</t>
  </si>
  <si>
    <t>Comidas Área Comercial - Clientes</t>
  </si>
  <si>
    <t>Saesa</t>
  </si>
  <si>
    <t>Rendiciones Vistas Comerc y Tecnica</t>
  </si>
  <si>
    <t>Alojamiento Área Comercial - 24 Estadías en Hoteles</t>
  </si>
  <si>
    <t>CC-Energy</t>
  </si>
  <si>
    <t>PMU Sol de Varas</t>
  </si>
  <si>
    <t>EDAC Quebrada Blanca</t>
  </si>
  <si>
    <t>113 a la 93</t>
  </si>
  <si>
    <t>pasaje, camioneta, alojamiento</t>
  </si>
  <si>
    <t>1 antofa 1 coquimbo 1 chuqui 1 vallenar - 4 sur</t>
  </si>
  <si>
    <t>2 días los del norte</t>
  </si>
  <si>
    <t>1 semana sur</t>
  </si>
  <si>
    <t>Antofagasta:</t>
  </si>
  <si>
    <t>2 personas 2 días</t>
  </si>
  <si>
    <t>Vuelo</t>
  </si>
  <si>
    <t>Alojamiento</t>
  </si>
  <si>
    <t>Vehículo</t>
  </si>
  <si>
    <t>Coquimbo:</t>
  </si>
  <si>
    <t>Saferay</t>
  </si>
  <si>
    <t>EDAGxCE La Huayca</t>
  </si>
  <si>
    <t>Vallenar:</t>
  </si>
  <si>
    <t>Concepción:</t>
  </si>
  <si>
    <t>1 persona 1 semana</t>
  </si>
  <si>
    <t>Totalenergies</t>
  </si>
  <si>
    <t>PMU - Santa Isabel</t>
  </si>
  <si>
    <t>+ Chuqui</t>
  </si>
  <si>
    <t>Traslado</t>
  </si>
  <si>
    <t>ISA Interchile</t>
  </si>
  <si>
    <t>PMU - Pan de azucar (2 PMU)</t>
  </si>
  <si>
    <t>Siete Energía</t>
  </si>
  <si>
    <t>Servicio de levantamiento</t>
  </si>
  <si>
    <t>BHP</t>
  </si>
  <si>
    <t>PMU Puente Negro/SE Maipo</t>
  </si>
  <si>
    <t>Total energies</t>
  </si>
  <si>
    <t>PMU Santa Isabel</t>
  </si>
  <si>
    <t>Central Cipreses</t>
  </si>
  <si>
    <t>Grenergy Renovables</t>
  </si>
  <si>
    <t>6 PMU</t>
  </si>
  <si>
    <t>COMASA</t>
  </si>
  <si>
    <t>2 PMU Central Termoeléctrica Lautaro</t>
  </si>
  <si>
    <t>Ver flujo</t>
  </si>
  <si>
    <t>Señales de Corriente</t>
  </si>
  <si>
    <t>Cabo Leones II</t>
  </si>
  <si>
    <t>PMU Fase 2</t>
  </si>
  <si>
    <t>Codelco Gaby</t>
  </si>
  <si>
    <t>Hidroelectrica Puntilla</t>
  </si>
  <si>
    <t>Ingenierías Básica y Detalle 3 centrales (7PMU)</t>
  </si>
  <si>
    <t>Cabo leones I</t>
  </si>
  <si>
    <t>Adicional 5114</t>
  </si>
  <si>
    <t>Cabo Leones III</t>
  </si>
  <si>
    <t>Tinguiririca</t>
  </si>
  <si>
    <t>Codelco</t>
  </si>
  <si>
    <t>PMU Nueva Aldea</t>
  </si>
  <si>
    <t>Central ventanas</t>
  </si>
  <si>
    <t>Levantamiento comunicaciones y SITR</t>
  </si>
  <si>
    <t>COPEC Flux</t>
  </si>
  <si>
    <t>Ciberseguridad imacto bajo 21 pmgd</t>
  </si>
  <si>
    <t>BACKLOG 2026</t>
  </si>
  <si>
    <t>PDC 1 para PMU</t>
  </si>
  <si>
    <t>Enfragen</t>
  </si>
  <si>
    <t>21 PMU Y PDC</t>
  </si>
  <si>
    <t>Manto Verde</t>
  </si>
  <si>
    <t>Acondicionamiento SITR</t>
  </si>
  <si>
    <t>Mantos Blancos</t>
  </si>
  <si>
    <t>Aes Andes</t>
  </si>
  <si>
    <t>Normalización PDC</t>
  </si>
  <si>
    <t>SITR Línea 7</t>
  </si>
  <si>
    <t>Aes</t>
  </si>
  <si>
    <t>PMU Campo lindo y PE San Matías</t>
  </si>
  <si>
    <t>Modernización Servidor PDC</t>
  </si>
  <si>
    <t>5 PMU + PDC</t>
  </si>
  <si>
    <t>Suministro 3 PMU Ter. Esperanza</t>
  </si>
  <si>
    <t>2 PMU Central Trineo y Maitencillo</t>
  </si>
  <si>
    <t>Montaje Switch Ancud</t>
  </si>
  <si>
    <t>Quintero Energía</t>
  </si>
  <si>
    <t>Integrar PMU Campiche y Nueva Ventanas</t>
  </si>
  <si>
    <t>Integración 2 PMU</t>
  </si>
  <si>
    <t>Enlight</t>
  </si>
  <si>
    <t>PMU La Huayca</t>
  </si>
  <si>
    <t>SLRP Centralizado</t>
  </si>
  <si>
    <t>Ferrovial</t>
  </si>
  <si>
    <t>4 PMU Centella Transmisión</t>
  </si>
  <si>
    <t>Contrato marco 20 pmu</t>
  </si>
  <si>
    <t>USM</t>
  </si>
  <si>
    <t>*</t>
  </si>
  <si>
    <t>GPE</t>
  </si>
  <si>
    <t>Río Colorado</t>
  </si>
  <si>
    <t>Colbún</t>
  </si>
  <si>
    <t>Trabajo adicional SITR</t>
  </si>
  <si>
    <t>Adicional Puclaro</t>
  </si>
  <si>
    <t>Hidro el paso</t>
  </si>
  <si>
    <t>SCADA</t>
  </si>
  <si>
    <t>Auditoría</t>
  </si>
  <si>
    <t>Trabajo adicional SITR (Fase 1.5)</t>
  </si>
  <si>
    <t>Integrar SCADA</t>
  </si>
  <si>
    <t>Actualización de servidores</t>
  </si>
  <si>
    <t>CRELL</t>
  </si>
  <si>
    <t>Centro de Control</t>
  </si>
  <si>
    <t>Integración al centro de control</t>
  </si>
  <si>
    <t>Flujo pendiente</t>
  </si>
  <si>
    <t>Control Compuertas Río Colorado</t>
  </si>
  <si>
    <t>Automatismo Isla</t>
  </si>
  <si>
    <t>Integración a Centro de Control</t>
  </si>
  <si>
    <t>Concentrador de Reconectadores Fase 1 (equipos)</t>
  </si>
  <si>
    <t>ESEL</t>
  </si>
  <si>
    <t>Actualización Software Elipse</t>
  </si>
  <si>
    <t>Integración con SCADA Zenon</t>
  </si>
  <si>
    <t>COPEC FLUX</t>
  </si>
  <si>
    <t>Piloto Centro de Control</t>
  </si>
  <si>
    <t>Lomas Bayas</t>
  </si>
  <si>
    <t>Cooprel</t>
  </si>
  <si>
    <t>SCADA Secundario de Respaldo</t>
  </si>
  <si>
    <t>Centro de control</t>
  </si>
  <si>
    <t>SCADA Central Palmar</t>
  </si>
  <si>
    <t>Parque Librillo</t>
  </si>
  <si>
    <t>EFE</t>
  </si>
  <si>
    <t>SCADA SITR</t>
  </si>
  <si>
    <t>Medidores Fase 3</t>
  </si>
  <si>
    <t>Hidromaule</t>
  </si>
  <si>
    <t>SCADA - Nivel 3</t>
  </si>
  <si>
    <t>SCADA Orion VX</t>
  </si>
  <si>
    <t>Grupo GTD</t>
  </si>
  <si>
    <t>SCADA Subestación Tap-off 2A</t>
  </si>
  <si>
    <t>Scada Farellones</t>
  </si>
  <si>
    <t>Integración Central de Tercero</t>
  </si>
  <si>
    <t>Integración de 9 Protecciones al SCADA</t>
  </si>
  <si>
    <t>Visualización Móvil</t>
  </si>
  <si>
    <t>Mtto iFIX</t>
  </si>
  <si>
    <t>Servidor redundante centro de control</t>
  </si>
  <si>
    <t>Gabriela Mistral Parte 2</t>
  </si>
  <si>
    <t>Barrick</t>
  </si>
  <si>
    <t>Retrofit SCADA N2 y RTU</t>
  </si>
  <si>
    <t>ICCP Adicionales</t>
  </si>
  <si>
    <t>Integración PE Totoral al C.C</t>
  </si>
  <si>
    <t>Uvenergy</t>
  </si>
  <si>
    <t>Piloto solución orion</t>
  </si>
  <si>
    <t>COPEC FLux</t>
  </si>
  <si>
    <t>Scada Zenon</t>
  </si>
  <si>
    <t>Concentrador de Reconectadores Fase 1 (servicios)</t>
  </si>
  <si>
    <t>Centro de Control y Gateway</t>
  </si>
  <si>
    <t>Potencia Chile</t>
  </si>
  <si>
    <t>SCADA Integrador BESS</t>
  </si>
  <si>
    <t>Codelco Chuquicamata</t>
  </si>
  <si>
    <t>SCADA Piloto</t>
  </si>
  <si>
    <t>Mantoverde</t>
  </si>
  <si>
    <t>SCADA Integrador</t>
  </si>
  <si>
    <t>SCADA y RTU</t>
  </si>
  <si>
    <t>Suministro de GPS Kronos 3</t>
  </si>
  <si>
    <t>Block de Pruebas Planta Gas</t>
  </si>
  <si>
    <t>Itahue/Rapel</t>
  </si>
  <si>
    <t>Adicional</t>
  </si>
  <si>
    <t>Parametrización</t>
  </si>
  <si>
    <t>Reemplazo de RTU S/E Mayaca</t>
  </si>
  <si>
    <t>Energya</t>
  </si>
  <si>
    <t>Adicional Fibra</t>
  </si>
  <si>
    <t>Reemplazo de RTU S/E Ventana (Servicios)</t>
  </si>
  <si>
    <t>Nativa Energy</t>
  </si>
  <si>
    <t>Levantamiento y normalización</t>
  </si>
  <si>
    <t>Mantenimiento de Comuncaciones</t>
  </si>
  <si>
    <t>AÑADIR FLUJO</t>
  </si>
  <si>
    <t>Levantamiento y Asesoría</t>
  </si>
  <si>
    <t>Adicional Concepción</t>
  </si>
  <si>
    <t>Suministros Reemplazo RTU + Relé + EDAC</t>
  </si>
  <si>
    <t>Adicional Servicio de Mantenimiento</t>
  </si>
  <si>
    <t>Retrofit de Relés EDAC</t>
  </si>
  <si>
    <t>Pedir a kevin flujo</t>
  </si>
  <si>
    <t>Mtto Mina Los colorados</t>
  </si>
  <si>
    <t>Servicio Retrofit EDAC El Romeral</t>
  </si>
  <si>
    <t>Servicio Conexión</t>
  </si>
  <si>
    <t>Luis Villarroel</t>
  </si>
  <si>
    <t>Suministro de dos RTU</t>
  </si>
  <si>
    <t>Yokogawa</t>
  </si>
  <si>
    <t>Anglo American</t>
  </si>
  <si>
    <t>Implementación Synchroteq S/E Maitenes</t>
  </si>
  <si>
    <t>Adicionales RTU Zona Norte</t>
  </si>
  <si>
    <t>Ingeteam</t>
  </si>
  <si>
    <t>Pruebas SAT y Puesta en Servicio - Ampliación SE Peña Blanca</t>
  </si>
  <si>
    <t>Retrofit de 10 protecciones</t>
  </si>
  <si>
    <t xml:space="preserve">Concentrador de Datos </t>
  </si>
  <si>
    <t>Mantenimiento de Comunicaciones</t>
  </si>
  <si>
    <t>Adicional OT 5153</t>
  </si>
  <si>
    <t>Reemplazo RTU S/E Ventana - Servicios</t>
  </si>
  <si>
    <t>Retrofit de Protecciones</t>
  </si>
  <si>
    <t>Servicio de Ingeniería FFOO</t>
  </si>
  <si>
    <t>Zona Litoral - Suministro de equipos Orion</t>
  </si>
  <si>
    <t>Minera Arqueros</t>
  </si>
  <si>
    <t>Suministro de interruptor sieyun</t>
  </si>
  <si>
    <t>Retrofit de Protecciones de Transformador</t>
  </si>
  <si>
    <t>Capex congelado</t>
  </si>
  <si>
    <t>Chilquinta Jonathan</t>
  </si>
  <si>
    <t>Adicional Diego de Almagro</t>
  </si>
  <si>
    <t>Aes Gener</t>
  </si>
  <si>
    <t>Suministro e integración 13 medidores</t>
  </si>
  <si>
    <t>Retrofit de RTU S/E Atacama</t>
  </si>
  <si>
    <t>RTU Ventana Fase 2 (adicionales)</t>
  </si>
  <si>
    <t>PERDIDO</t>
  </si>
  <si>
    <t>Retrofit 5 Medidores</t>
  </si>
  <si>
    <t>Statkraft</t>
  </si>
  <si>
    <t>Reemplazo de protecciones</t>
  </si>
  <si>
    <t>Señales usuarios grandes</t>
  </si>
  <si>
    <t>Schneider</t>
  </si>
  <si>
    <t>Suministro de Synchroteq</t>
  </si>
  <si>
    <t>Contrato marco retrofit RTU</t>
  </si>
  <si>
    <t>Reemplazo de RTU Kingfisher S/E Curauma</t>
  </si>
  <si>
    <t>Hidroeléctrica El Paso</t>
  </si>
  <si>
    <t>Mtto Protecciones</t>
  </si>
  <si>
    <t>Retrofit RTU OPTO22</t>
  </si>
  <si>
    <t>GC-HUB</t>
  </si>
  <si>
    <t>Suministro Orion LX+</t>
  </si>
  <si>
    <t>Reemplazo SAS Hualpén</t>
  </si>
  <si>
    <t>ECAP &amp; Ajuste de Protecciones</t>
  </si>
  <si>
    <t>Retrofit de protecciones GE D60</t>
  </si>
  <si>
    <t>Concentrador Señales BT</t>
  </si>
  <si>
    <t>WPD</t>
  </si>
  <si>
    <t>Implementación Synchroteq</t>
  </si>
  <si>
    <t>COOPREL</t>
  </si>
  <si>
    <t>Medición Clientes menores</t>
  </si>
  <si>
    <t>Retrofit SEPAM</t>
  </si>
  <si>
    <t>Retrofit de protecciones</t>
  </si>
  <si>
    <t>Reemplazo RTU 9</t>
  </si>
  <si>
    <t>Adicional OT5153 Itahue</t>
  </si>
  <si>
    <t>Adicional OT5153 Quillota</t>
  </si>
  <si>
    <t>Servicio de pruebas protección</t>
  </si>
  <si>
    <t>Implementación de Protecciones y Control SE Carrascal</t>
  </si>
  <si>
    <t>Mantenimiento Protecciones Termoeléctricas</t>
  </si>
  <si>
    <t>Bboch</t>
  </si>
  <si>
    <t>Servicio de Pruebas SAT C&amp;P S/E Cruceros</t>
  </si>
  <si>
    <t>Angloamerican</t>
  </si>
  <si>
    <t>Implementación Syncroteq</t>
  </si>
  <si>
    <t>Mina El Romeral - Retrofit de Protecciones</t>
  </si>
  <si>
    <t>Hitachi</t>
  </si>
  <si>
    <t>Implementación diferencial de línea NR</t>
  </si>
  <si>
    <t>Codelco Andina</t>
  </si>
  <si>
    <t>Implementació Synchroteq</t>
  </si>
  <si>
    <t>Retrofit de RTU</t>
  </si>
  <si>
    <t>Codelco chuquicamata</t>
  </si>
  <si>
    <t>Synchroteq SE 10A</t>
  </si>
  <si>
    <t>Eficiencia Energética</t>
  </si>
  <si>
    <t>Implementación Telecontrol en S/E</t>
  </si>
  <si>
    <t>Retrofit RTU Kingfisher S/E San Torquemada</t>
  </si>
  <si>
    <t>Retrofit RTU SICAM S/E Peña Blanca</t>
  </si>
  <si>
    <t>Consultar a Kevin</t>
  </si>
  <si>
    <t>Retrofit RTU Kingfisher S/E San Pedro</t>
  </si>
  <si>
    <t>Reemplazo de RTU S/E Torquemada</t>
  </si>
  <si>
    <t>Energía Pacífico</t>
  </si>
  <si>
    <t>Retrofit 3 protecciones</t>
  </si>
  <si>
    <t>Retrofit 26 protecciones Toshiba</t>
  </si>
  <si>
    <t>Planta Pellet - Retrofit de RTU/SCADA Local</t>
  </si>
  <si>
    <t>Planta Pellet - Retrofit de protecciones</t>
  </si>
  <si>
    <t>Reemplazo Controlador ABB</t>
  </si>
  <si>
    <t>Escenarios</t>
  </si>
  <si>
    <t>Facturación (Mes que se factura)</t>
  </si>
  <si>
    <t>Gastos (Mes que debemos pagar)</t>
  </si>
  <si>
    <t>PROYECCIÓN ANUAL</t>
  </si>
  <si>
    <t>Negocios al 100% en MCLP</t>
  </si>
  <si>
    <t>Unidad de negocio</t>
  </si>
  <si>
    <t>SCADA y SAC</t>
  </si>
  <si>
    <t>PAC - SSEE</t>
  </si>
  <si>
    <t>Negocios con sus % de éxito en MCLP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</si>
</sst>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"/>
    <numFmt numFmtId="165" formatCode="dd-mm-yyyy"/>
    <numFmt numFmtId="166" formatCode="d/MM/yyyy"/>
    <numFmt numFmtId="167" formatCode="0.0"/>
    <numFmt numFmtId="168" formatCode="[$$]#,##0.0"/>
    <numFmt numFmtId="169" formatCode="0.0%"/>
    <numFmt numFmtId="170" formatCode="mmmm yyyy"/>
    <numFmt numFmtId="171" formatCode="yyyy-mm"/>
  </numFmts>
  <fonts count="49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color rgb="FFFFFFFF"/>
      <name val="Roboto"/>
    </font>
    <font/>
    <font>
      <b/>
      <sz val="16.0"/>
      <color theme="1"/>
      <name val="Arial"/>
      <scheme val="minor"/>
    </font>
    <font>
      <b/>
      <color rgb="FF434343"/>
      <name val="Roboto"/>
    </font>
    <font>
      <b/>
      <sz val="12.0"/>
      <color theme="1"/>
      <name val="Roboto"/>
    </font>
    <font>
      <sz val="10.0"/>
      <color rgb="FF000000"/>
      <name val="Roboto"/>
    </font>
    <font>
      <i/>
      <sz val="10.0"/>
      <color rgb="FF000000"/>
      <name val="Roboto"/>
    </font>
    <font>
      <sz val="10.0"/>
      <color theme="1"/>
      <name val="Roboto"/>
    </font>
    <font>
      <b/>
      <sz val="10.0"/>
      <color rgb="FF006100"/>
      <name val="Roboto"/>
    </font>
    <font>
      <b/>
      <color theme="1"/>
      <name val="Roboto"/>
    </font>
    <font>
      <b/>
      <sz val="10.0"/>
      <color rgb="FFFFFFFF"/>
      <name val="Roboto"/>
    </font>
    <font>
      <color theme="1"/>
      <name val="Arial"/>
      <scheme val="minor"/>
    </font>
    <font>
      <i/>
      <color theme="1"/>
      <name val="Arial"/>
      <scheme val="minor"/>
    </font>
    <font>
      <sz val="10.0"/>
      <color rgb="FFFFFFFF"/>
      <name val="Roboto"/>
    </font>
    <font>
      <sz val="10.0"/>
      <color rgb="FF006100"/>
      <name val="Roboto"/>
    </font>
    <font>
      <color theme="1"/>
      <name val="Roboto"/>
    </font>
    <font>
      <sz val="10.0"/>
      <color rgb="FFFFFFFF"/>
      <name val="Arial"/>
      <scheme val="minor"/>
    </font>
    <font>
      <i/>
      <sz val="10.0"/>
      <color rgb="FFFFFFFF"/>
      <name val="Arial"/>
      <scheme val="minor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color rgb="FFFFFFFF"/>
      <name val="Roboto"/>
    </font>
    <font>
      <i/>
      <sz val="10.0"/>
      <color rgb="FFFF0000"/>
      <name val="Arial"/>
      <scheme val="minor"/>
    </font>
    <font>
      <color theme="1"/>
      <name val="Arial"/>
    </font>
    <font>
      <b/>
      <sz val="9.0"/>
      <color rgb="FF434343"/>
      <name val="Roboto"/>
    </font>
    <font>
      <color rgb="FF000000"/>
      <name val="Arial"/>
    </font>
    <font>
      <color rgb="FFFFFFFF"/>
      <name val="Arial"/>
      <scheme val="minor"/>
    </font>
    <font>
      <i/>
      <sz val="10.0"/>
      <color rgb="FF000000"/>
      <name val="Arial"/>
      <scheme val="minor"/>
    </font>
    <font>
      <sz val="10.0"/>
      <color rgb="FF434343"/>
      <name val="Roboto"/>
    </font>
    <font>
      <b/>
      <color theme="1"/>
      <name val="Arial"/>
      <scheme val="minor"/>
    </font>
    <font>
      <sz val="9.0"/>
      <color rgb="FF434343"/>
      <name val="Roboto"/>
    </font>
    <font>
      <b/>
      <sz val="12.0"/>
      <color rgb="FFFFFFFF"/>
      <name val="Roboto"/>
    </font>
    <font>
      <i/>
      <sz val="10.0"/>
      <color theme="1"/>
      <name val="Roboto"/>
    </font>
    <font>
      <i/>
      <sz val="10.0"/>
      <color rgb="FFFF0000"/>
      <name val="Roboto"/>
    </font>
    <font>
      <color rgb="FF434343"/>
      <name val="Roboto"/>
    </font>
    <font>
      <b/>
      <color rgb="FFFF6D01"/>
      <name val="Arial"/>
      <scheme val="minor"/>
    </font>
    <font>
      <b/>
      <color theme="8"/>
      <name val="Arial"/>
      <scheme val="minor"/>
    </font>
    <font>
      <sz val="10.0"/>
      <color rgb="FFFF0000"/>
      <name val="Roboto"/>
    </font>
    <font>
      <b/>
      <sz val="10.0"/>
      <color theme="1"/>
      <name val="Roboto"/>
    </font>
    <font>
      <color rgb="FFFF0000"/>
      <name val="Arial"/>
      <scheme val="minor"/>
    </font>
    <font>
      <b/>
      <sz val="10.0"/>
      <color rgb="FF000000"/>
      <name val="Roboto"/>
    </font>
    <font>
      <b/>
      <sz val="12.0"/>
      <color rgb="FF356854"/>
      <name val="Roboto"/>
    </font>
    <font>
      <i/>
      <sz val="10.0"/>
      <color rgb="FFFFFFFF"/>
      <name val="Roboto"/>
    </font>
    <font>
      <color rgb="FFFF0000"/>
      <name val="Roboto"/>
    </font>
    <font>
      <i/>
      <color theme="1"/>
      <name val="Roboto"/>
    </font>
    <font>
      <b/>
      <sz val="10.0"/>
      <color rgb="FF434343"/>
      <name val="Roboto"/>
    </font>
    <font>
      <sz val="11.0"/>
      <color rgb="FF000000"/>
      <name val="Calibri"/>
    </font>
    <font>
      <b/>
      <color rgb="FFFFFFFF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006100"/>
        <bgColor rgb="FF0061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FF6D01"/>
        <bgColor rgb="FFFF6D01"/>
      </patternFill>
    </fill>
    <fill>
      <patternFill patternType="solid">
        <fgColor rgb="FFEFEFEF"/>
        <bgColor rgb="FFEFEFEF"/>
      </patternFill>
    </fill>
    <fill>
      <patternFill patternType="solid">
        <fgColor rgb="FFC6EFCE"/>
        <bgColor rgb="FFC6EFCE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  <fill>
      <patternFill patternType="solid">
        <fgColor rgb="FFC6F0CE"/>
        <bgColor rgb="FFC6F0CE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CCFFCC"/>
        <bgColor rgb="FFCCFFCC"/>
      </patternFill>
    </fill>
    <fill>
      <patternFill patternType="solid">
        <fgColor rgb="FFEAD1DC"/>
        <bgColor rgb="FFEAD1DC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0" fillId="0" fontId="4" numFmtId="0" xfId="0" applyAlignment="1" applyFont="1">
      <alignment readingOrder="0"/>
    </xf>
    <xf borderId="2" fillId="3" fontId="5" numFmtId="0" xfId="0" applyAlignment="1" applyBorder="1" applyFill="1" applyFont="1">
      <alignment horizontal="center" readingOrder="0" shrinkToFit="0" wrapText="1"/>
    </xf>
    <xf borderId="4" fillId="0" fontId="3" numFmtId="0" xfId="0" applyBorder="1" applyFont="1"/>
    <xf borderId="0" fillId="0" fontId="6" numFmtId="0" xfId="0" applyAlignment="1" applyFont="1">
      <alignment horizontal="left" readingOrder="0" shrinkToFit="0" vertical="bottom" wrapText="0"/>
    </xf>
    <xf borderId="3" fillId="3" fontId="5" numFmtId="0" xfId="0" applyAlignment="1" applyBorder="1" applyFont="1">
      <alignment horizontal="center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Font="1"/>
    <xf borderId="4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2" fillId="4" fontId="2" numFmtId="0" xfId="0" applyAlignment="1" applyBorder="1" applyFill="1" applyFont="1">
      <alignment horizontal="center" readingOrder="0" shrinkToFit="0" wrapText="1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2" fillId="3" fontId="11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readingOrder="0" shrinkToFit="0" vertical="bottom" wrapText="0"/>
    </xf>
    <xf borderId="4" fillId="3" fontId="11" numFmtId="0" xfId="0" applyAlignment="1" applyBorder="1" applyFont="1">
      <alignment horizontal="center"/>
    </xf>
    <xf borderId="0" fillId="0" fontId="10" numFmtId="164" xfId="0" applyAlignment="1" applyFont="1" applyNumberFormat="1">
      <alignment readingOrder="0" shrinkToFit="0" vertical="bottom" wrapText="0"/>
    </xf>
    <xf borderId="3" fillId="3" fontId="11" numFmtId="0" xfId="0" applyAlignment="1" applyBorder="1" applyFont="1">
      <alignment horizontal="center"/>
    </xf>
    <xf borderId="0" fillId="5" fontId="12" numFmtId="0" xfId="0" applyAlignment="1" applyFill="1" applyFont="1">
      <alignment horizontal="center" readingOrder="0" shrinkToFit="0" vertical="bottom" wrapText="0"/>
    </xf>
    <xf borderId="0" fillId="0" fontId="13" numFmtId="0" xfId="0" applyAlignment="1" applyFont="1">
      <alignment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9" numFmtId="0" xfId="0" applyAlignment="1" applyFont="1">
      <alignment readingOrder="0"/>
    </xf>
    <xf borderId="0" fillId="0" fontId="14" numFmtId="0" xfId="0" applyAlignment="1" applyFont="1">
      <alignment readingOrder="0"/>
    </xf>
    <xf borderId="8" fillId="5" fontId="15" numFmtId="0" xfId="0" applyAlignment="1" applyBorder="1" applyFont="1">
      <alignment horizontal="left" readingOrder="0" shrinkToFit="0" vertical="bottom" wrapText="0"/>
    </xf>
    <xf borderId="0" fillId="2" fontId="2" numFmtId="165" xfId="0" applyAlignment="1" applyFont="1" applyNumberFormat="1">
      <alignment horizontal="center" readingOrder="0" vertical="top"/>
    </xf>
    <xf borderId="8" fillId="5" fontId="15" numFmtId="0" xfId="0" applyAlignment="1" applyBorder="1" applyFont="1">
      <alignment readingOrder="0" shrinkToFit="0" vertical="bottom" wrapText="0"/>
    </xf>
    <xf borderId="8" fillId="5" fontId="16" numFmtId="0" xfId="0" applyAlignment="1" applyBorder="1" applyFont="1">
      <alignment horizontal="right" readingOrder="0" shrinkToFit="0" vertical="bottom" wrapText="0"/>
    </xf>
    <xf borderId="5" fillId="0" fontId="17" numFmtId="0" xfId="0" applyAlignment="1" applyBorder="1" applyFont="1">
      <alignment vertical="top"/>
    </xf>
    <xf borderId="8" fillId="5" fontId="15" numFmtId="164" xfId="0" applyAlignment="1" applyBorder="1" applyFont="1" applyNumberFormat="1">
      <alignment readingOrder="0" shrinkToFit="0" vertical="bottom" wrapText="0"/>
    </xf>
    <xf borderId="8" fillId="5" fontId="12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6" fillId="0" fontId="17" numFmtId="164" xfId="0" applyAlignment="1" applyBorder="1" applyFont="1" applyNumberFormat="1">
      <alignment horizontal="center" vertical="top"/>
    </xf>
    <xf borderId="6" fillId="0" fontId="17" numFmtId="164" xfId="0" applyAlignment="1" applyBorder="1" applyFont="1" applyNumberFormat="1">
      <alignment horizontal="center" readingOrder="0" vertical="top"/>
    </xf>
    <xf borderId="8" fillId="2" fontId="12" numFmtId="0" xfId="0" applyAlignment="1" applyBorder="1" applyFont="1">
      <alignment horizontal="center" readingOrder="0" shrinkToFit="0" vertical="bottom" wrapText="0"/>
    </xf>
    <xf borderId="7" fillId="0" fontId="17" numFmtId="9" xfId="0" applyAlignment="1" applyBorder="1" applyFont="1" applyNumberFormat="1">
      <alignment horizontal="center" vertical="bottom"/>
    </xf>
    <xf borderId="0" fillId="0" fontId="17" numFmtId="164" xfId="0" applyAlignment="1" applyFont="1" applyNumberFormat="1">
      <alignment horizontal="center" readingOrder="0" vertical="top"/>
    </xf>
    <xf borderId="8" fillId="6" fontId="12" numFmtId="0" xfId="0" applyAlignment="1" applyBorder="1" applyFill="1" applyFont="1">
      <alignment horizontal="center" readingOrder="0" shrinkToFit="0" vertical="bottom" wrapText="0"/>
    </xf>
    <xf borderId="0" fillId="0" fontId="17" numFmtId="164" xfId="0" applyAlignment="1" applyFont="1" applyNumberFormat="1">
      <alignment horizontal="center" vertical="top"/>
    </xf>
    <xf borderId="6" fillId="0" fontId="17" numFmtId="164" xfId="0" applyAlignment="1" applyBorder="1" applyFont="1" applyNumberFormat="1">
      <alignment horizontal="center" vertical="bottom"/>
    </xf>
    <xf borderId="0" fillId="0" fontId="17" numFmtId="9" xfId="0" applyAlignment="1" applyFont="1" applyNumberFormat="1">
      <alignment horizontal="center" vertical="bottom"/>
    </xf>
    <xf borderId="0" fillId="0" fontId="0" numFmtId="0" xfId="0" applyAlignment="1" applyFont="1">
      <alignment shrinkToFit="0" vertical="bottom" wrapText="0"/>
    </xf>
    <xf borderId="9" fillId="7" fontId="18" numFmtId="0" xfId="0" applyAlignment="1" applyBorder="1" applyFill="1" applyFont="1">
      <alignment horizontal="left" readingOrder="0" shrinkToFit="0" vertical="bottom" wrapText="0"/>
    </xf>
    <xf borderId="10" fillId="7" fontId="18" numFmtId="0" xfId="0" applyAlignment="1" applyBorder="1" applyFont="1">
      <alignment readingOrder="0" shrinkToFit="0" vertical="bottom" wrapText="0"/>
    </xf>
    <xf borderId="11" fillId="7" fontId="18" numFmtId="0" xfId="0" applyAlignment="1" applyBorder="1" applyFont="1">
      <alignment horizontal="right" readingOrder="0" shrinkToFit="0" vertical="bottom" wrapText="0"/>
    </xf>
    <xf borderId="10" fillId="7" fontId="18" numFmtId="0" xfId="0" applyAlignment="1" applyBorder="1" applyFont="1">
      <alignment horizontal="right" readingOrder="0" shrinkToFit="0" vertical="bottom" wrapText="0"/>
    </xf>
    <xf borderId="10" fillId="7" fontId="18" numFmtId="9" xfId="0" applyAlignment="1" applyBorder="1" applyFont="1" applyNumberFormat="1">
      <alignment horizontal="right" readingOrder="0" shrinkToFit="0" vertical="bottom" wrapText="0"/>
    </xf>
    <xf borderId="8" fillId="7" fontId="19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Font="1"/>
    <xf borderId="8" fillId="5" fontId="18" numFmtId="0" xfId="0" applyAlignment="1" applyBorder="1" applyFont="1">
      <alignment readingOrder="0" shrinkToFit="0" vertical="bottom" wrapText="0"/>
    </xf>
    <xf borderId="12" fillId="2" fontId="2" numFmtId="0" xfId="0" applyAlignment="1" applyBorder="1" applyFont="1">
      <alignment vertical="top"/>
    </xf>
    <xf borderId="13" fillId="2" fontId="22" numFmtId="164" xfId="0" applyAlignment="1" applyBorder="1" applyFont="1" applyNumberFormat="1">
      <alignment horizontal="center" vertical="top"/>
    </xf>
    <xf borderId="14" fillId="0" fontId="3" numFmtId="0" xfId="0" applyBorder="1" applyFont="1"/>
    <xf borderId="8" fillId="7" fontId="15" numFmtId="0" xfId="0" applyAlignment="1" applyBorder="1" applyFont="1">
      <alignment horizontal="right" readingOrder="0" shrinkToFit="0" vertical="bottom" wrapText="0"/>
    </xf>
    <xf borderId="13" fillId="3" fontId="5" numFmtId="164" xfId="0" applyAlignment="1" applyBorder="1" applyFont="1" applyNumberFormat="1">
      <alignment horizontal="center" vertical="top"/>
    </xf>
    <xf borderId="15" fillId="0" fontId="3" numFmtId="0" xfId="0" applyBorder="1" applyFont="1"/>
    <xf borderId="0" fillId="0" fontId="23" numFmtId="0" xfId="0" applyAlignment="1" applyFont="1">
      <alignment readingOrder="0" shrinkToFit="0" vertical="bottom" wrapText="0"/>
    </xf>
    <xf borderId="14" fillId="3" fontId="5" numFmtId="10" xfId="0" applyAlignment="1" applyBorder="1" applyFont="1" applyNumberFormat="1">
      <alignment horizontal="center" vertical="top"/>
    </xf>
    <xf borderId="8" fillId="0" fontId="0" numFmtId="0" xfId="0" applyAlignment="1" applyBorder="1" applyFont="1">
      <alignment readingOrder="0" shrinkToFit="0" vertical="bottom" wrapText="0"/>
    </xf>
    <xf borderId="15" fillId="2" fontId="22" numFmtId="164" xfId="0" applyAlignment="1" applyBorder="1" applyFont="1" applyNumberFormat="1">
      <alignment horizontal="center" vertical="top"/>
    </xf>
    <xf borderId="14" fillId="2" fontId="22" numFmtId="9" xfId="0" applyAlignment="1" applyBorder="1" applyFont="1" applyNumberFormat="1">
      <alignment horizontal="center" vertical="bottom"/>
    </xf>
    <xf borderId="15" fillId="4" fontId="22" numFmtId="164" xfId="0" applyAlignment="1" applyBorder="1" applyFont="1" applyNumberFormat="1">
      <alignment horizontal="center" vertical="top"/>
    </xf>
    <xf borderId="13" fillId="3" fontId="17" numFmtId="164" xfId="0" applyAlignment="1" applyBorder="1" applyFont="1" applyNumberFormat="1">
      <alignment horizontal="center" vertical="bottom"/>
    </xf>
    <xf borderId="15" fillId="3" fontId="11" numFmtId="9" xfId="0" applyAlignment="1" applyBorder="1" applyFont="1" applyNumberFormat="1">
      <alignment horizontal="center" vertical="bottom"/>
    </xf>
    <xf borderId="9" fillId="7" fontId="15" numFmtId="0" xfId="0" applyAlignment="1" applyBorder="1" applyFont="1">
      <alignment horizontal="left" readingOrder="0" shrinkToFit="0" vertical="bottom" wrapText="0"/>
    </xf>
    <xf borderId="14" fillId="3" fontId="11" numFmtId="9" xfId="0" applyAlignment="1" applyBorder="1" applyFont="1" applyNumberFormat="1">
      <alignment horizontal="center" vertical="bottom"/>
    </xf>
    <xf borderId="10" fillId="7" fontId="15" numFmtId="0" xfId="0" applyAlignment="1" applyBorder="1" applyFont="1">
      <alignment readingOrder="0" shrinkToFit="0" vertical="bottom" wrapText="0"/>
    </xf>
    <xf borderId="0" fillId="0" fontId="24" numFmtId="0" xfId="0" applyAlignment="1" applyFont="1">
      <alignment vertical="bottom"/>
    </xf>
    <xf borderId="11" fillId="7" fontId="15" numFmtId="0" xfId="0" applyAlignment="1" applyBorder="1" applyFont="1">
      <alignment horizontal="right" readingOrder="0" shrinkToFit="0" vertical="bottom" wrapText="0"/>
    </xf>
    <xf borderId="0" fillId="0" fontId="25" numFmtId="0" xfId="0" applyAlignment="1" applyFont="1">
      <alignment horizontal="right" vertical="bottom"/>
    </xf>
    <xf borderId="10" fillId="7" fontId="15" numFmtId="0" xfId="0" applyAlignment="1" applyBorder="1" applyFont="1">
      <alignment horizontal="right" readingOrder="0" shrinkToFit="0" vertical="bottom" wrapText="0"/>
    </xf>
    <xf borderId="0" fillId="0" fontId="25" numFmtId="166" xfId="0" applyAlignment="1" applyFont="1" applyNumberFormat="1">
      <alignment horizontal="right" vertical="bottom"/>
    </xf>
    <xf borderId="10" fillId="7" fontId="15" numFmtId="9" xfId="0" applyAlignment="1" applyBorder="1" applyFont="1" applyNumberFormat="1">
      <alignment horizontal="right" readingOrder="0" shrinkToFit="0" vertical="bottom" wrapText="0"/>
    </xf>
    <xf borderId="2" fillId="2" fontId="2" numFmtId="0" xfId="0" applyAlignment="1" applyBorder="1" applyFont="1">
      <alignment horizontal="center"/>
    </xf>
    <xf borderId="8" fillId="7" fontId="15" numFmtId="0" xfId="0" applyAlignment="1" applyBorder="1" applyFont="1">
      <alignment readingOrder="0" shrinkToFit="0" vertical="bottom" wrapText="0"/>
    </xf>
    <xf borderId="2" fillId="8" fontId="2" numFmtId="0" xfId="0" applyAlignment="1" applyBorder="1" applyFill="1" applyFont="1">
      <alignment horizontal="center" readingOrder="0" shrinkToFit="0" wrapText="1"/>
    </xf>
    <xf borderId="0" fillId="0" fontId="7" numFmtId="0" xfId="0" applyAlignment="1" applyFont="1">
      <alignment readingOrder="0" shrinkToFit="0" vertical="bottom" wrapText="0"/>
    </xf>
    <xf borderId="3" fillId="8" fontId="2" numFmtId="0" xfId="0" applyAlignment="1" applyBorder="1" applyFont="1">
      <alignment horizontal="center" readingOrder="0" shrinkToFit="0" wrapText="1"/>
    </xf>
    <xf borderId="6" fillId="8" fontId="2" numFmtId="0" xfId="0" applyAlignment="1" applyBorder="1" applyFont="1">
      <alignment horizontal="center" readingOrder="0" shrinkToFit="0" wrapText="1"/>
    </xf>
    <xf borderId="0" fillId="8" fontId="2" numFmtId="0" xfId="0" applyAlignment="1" applyFont="1">
      <alignment horizontal="center" readingOrder="0" shrinkToFit="0" wrapText="1"/>
    </xf>
    <xf borderId="7" fillId="8" fontId="2" numFmtId="0" xfId="0" applyAlignment="1" applyBorder="1" applyFont="1">
      <alignment horizontal="center" readingOrder="0" shrinkToFit="0" wrapText="1"/>
    </xf>
    <xf borderId="6" fillId="0" fontId="17" numFmtId="0" xfId="0" applyAlignment="1" applyBorder="1" applyFont="1">
      <alignment vertical="top"/>
    </xf>
    <xf borderId="6" fillId="0" fontId="26" numFmtId="164" xfId="0" applyAlignment="1" applyBorder="1" applyFont="1" applyNumberFormat="1">
      <alignment horizontal="center" readingOrder="0" vertical="top"/>
    </xf>
    <xf borderId="8" fillId="5" fontId="15" numFmtId="0" xfId="0" applyAlignment="1" applyBorder="1" applyFont="1">
      <alignment shrinkToFit="0" vertical="bottom" wrapText="0"/>
    </xf>
    <xf borderId="0" fillId="0" fontId="26" numFmtId="164" xfId="0" applyAlignment="1" applyFont="1" applyNumberFormat="1">
      <alignment horizontal="center" readingOrder="0" vertical="top"/>
    </xf>
    <xf borderId="7" fillId="0" fontId="26" numFmtId="0" xfId="0" applyAlignment="1" applyBorder="1" applyFont="1">
      <alignment horizontal="center" readingOrder="0" vertical="bottom"/>
    </xf>
    <xf borderId="7" fillId="0" fontId="26" numFmtId="164" xfId="0" applyAlignment="1" applyBorder="1" applyFont="1" applyNumberFormat="1">
      <alignment horizontal="center" readingOrder="0" vertical="bottom"/>
    </xf>
    <xf borderId="0" fillId="0" fontId="13" numFmtId="164" xfId="0" applyFont="1" applyNumberFormat="1"/>
    <xf borderId="13" fillId="2" fontId="2" numFmtId="0" xfId="0" applyAlignment="1" applyBorder="1" applyFont="1">
      <alignment vertical="top"/>
    </xf>
    <xf borderId="13" fillId="8" fontId="22" numFmtId="164" xfId="0" applyAlignment="1" applyBorder="1" applyFont="1" applyNumberFormat="1">
      <alignment horizontal="center" vertical="top"/>
    </xf>
    <xf borderId="15" fillId="8" fontId="22" numFmtId="164" xfId="0" applyAlignment="1" applyBorder="1" applyFont="1" applyNumberFormat="1">
      <alignment horizontal="center" vertical="top"/>
    </xf>
    <xf borderId="14" fillId="8" fontId="13" numFmtId="0" xfId="0" applyAlignment="1" applyBorder="1" applyFont="1">
      <alignment horizontal="center"/>
    </xf>
    <xf borderId="14" fillId="8" fontId="27" numFmtId="164" xfId="0" applyAlignment="1" applyBorder="1" applyFont="1" applyNumberFormat="1">
      <alignment horizontal="center"/>
    </xf>
    <xf borderId="8" fillId="0" fontId="9" numFmtId="0" xfId="0" applyBorder="1" applyFont="1"/>
    <xf borderId="0" fillId="0" fontId="0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9" fillId="7" fontId="9" numFmtId="0" xfId="0" applyAlignment="1" applyBorder="1" applyFont="1">
      <alignment horizontal="left" readingOrder="0" shrinkToFit="0" vertical="bottom" wrapText="0"/>
    </xf>
    <xf borderId="10" fillId="7" fontId="9" numFmtId="0" xfId="0" applyAlignment="1" applyBorder="1" applyFont="1">
      <alignment readingOrder="0" shrinkToFit="0" vertical="bottom" wrapText="0"/>
    </xf>
    <xf borderId="10" fillId="7" fontId="9" numFmtId="0" xfId="0" applyAlignment="1" applyBorder="1" applyFont="1">
      <alignment horizontal="right" readingOrder="0" shrinkToFit="0" vertical="bottom" wrapText="0"/>
    </xf>
    <xf borderId="10" fillId="7" fontId="9" numFmtId="9" xfId="0" applyAlignment="1" applyBorder="1" applyFont="1" applyNumberFormat="1">
      <alignment horizontal="right" readingOrder="0" shrinkToFit="0" vertical="bottom" wrapText="0"/>
    </xf>
    <xf borderId="8" fillId="7" fontId="9" numFmtId="0" xfId="0" applyAlignment="1" applyBorder="1" applyFont="1">
      <alignment horizontal="center" readingOrder="0" shrinkToFit="0" vertical="bottom" wrapText="0"/>
    </xf>
    <xf borderId="11" fillId="7" fontId="29" numFmtId="0" xfId="0" applyAlignment="1" applyBorder="1" applyFont="1">
      <alignment horizontal="right" readingOrder="0" shrinkToFit="0" vertical="bottom" wrapText="0"/>
    </xf>
    <xf borderId="0" fillId="9" fontId="13" numFmtId="0" xfId="0" applyFill="1" applyFont="1"/>
    <xf borderId="0" fillId="9" fontId="6" numFmtId="0" xfId="0" applyAlignment="1" applyFont="1">
      <alignment horizontal="left" readingOrder="0"/>
    </xf>
    <xf borderId="0" fillId="9" fontId="30" numFmtId="0" xfId="0" applyAlignment="1" applyFont="1">
      <alignment horizontal="center" readingOrder="0"/>
    </xf>
    <xf borderId="0" fillId="9" fontId="13" numFmtId="0" xfId="0" applyAlignment="1" applyFont="1">
      <alignment readingOrder="0"/>
    </xf>
    <xf borderId="8" fillId="0" fontId="13" numFmtId="0" xfId="0" applyBorder="1" applyFont="1"/>
    <xf borderId="0" fillId="9" fontId="31" numFmtId="0" xfId="0" applyAlignment="1" applyFont="1">
      <alignment horizontal="right" readingOrder="0" vertical="top"/>
    </xf>
    <xf borderId="0" fillId="9" fontId="31" numFmtId="165" xfId="0" applyAlignment="1" applyFont="1" applyNumberFormat="1">
      <alignment horizontal="left" readingOrder="0" vertical="top"/>
    </xf>
    <xf borderId="8" fillId="2" fontId="32" numFmtId="0" xfId="0" applyAlignment="1" applyBorder="1" applyFont="1">
      <alignment readingOrder="0" vertical="center"/>
    </xf>
    <xf borderId="8" fillId="2" fontId="2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readingOrder="0" vertical="center"/>
    </xf>
    <xf borderId="8" fillId="0" fontId="5" numFmtId="0" xfId="0" applyAlignment="1" applyBorder="1" applyFont="1">
      <alignment readingOrder="0" vertical="center"/>
    </xf>
    <xf borderId="0" fillId="0" fontId="33" numFmtId="0" xfId="0" applyAlignment="1" applyFont="1">
      <alignment readingOrder="0" shrinkToFit="0" vertical="bottom" wrapText="0"/>
    </xf>
    <xf borderId="0" fillId="0" fontId="9" numFmtId="9" xfId="0" applyAlignment="1" applyFont="1" applyNumberFormat="1">
      <alignment readingOrder="0"/>
    </xf>
    <xf borderId="8" fillId="0" fontId="5" numFmtId="164" xfId="0" applyAlignment="1" applyBorder="1" applyFont="1" applyNumberFormat="1">
      <alignment vertical="center"/>
    </xf>
    <xf borderId="0" fillId="0" fontId="34" numFmtId="0" xfId="0" applyAlignment="1" applyFont="1">
      <alignment readingOrder="0" shrinkToFit="0" vertical="bottom" wrapText="0"/>
    </xf>
    <xf borderId="8" fillId="3" fontId="5" numFmtId="164" xfId="0" applyAlignment="1" applyBorder="1" applyFont="1" applyNumberFormat="1">
      <alignment vertical="center"/>
    </xf>
    <xf borderId="8" fillId="0" fontId="13" numFmtId="167" xfId="0" applyBorder="1" applyFont="1" applyNumberFormat="1"/>
    <xf borderId="8" fillId="3" fontId="5" numFmtId="164" xfId="0" applyAlignment="1" applyBorder="1" applyFont="1" applyNumberFormat="1">
      <alignment readingOrder="0" vertical="center"/>
    </xf>
    <xf borderId="8" fillId="0" fontId="35" numFmtId="164" xfId="0" applyAlignment="1" applyBorder="1" applyFont="1" applyNumberFormat="1">
      <alignment readingOrder="0" vertical="center"/>
    </xf>
    <xf borderId="8" fillId="0" fontId="5" numFmtId="164" xfId="0" applyAlignment="1" applyBorder="1" applyFont="1" applyNumberFormat="1">
      <alignment readingOrder="0" vertical="center"/>
    </xf>
    <xf borderId="0" fillId="0" fontId="17" numFmtId="0" xfId="0" applyFont="1"/>
    <xf borderId="8" fillId="0" fontId="35" numFmtId="0" xfId="0" applyAlignment="1" applyBorder="1" applyFont="1">
      <alignment readingOrder="0" vertical="center"/>
    </xf>
    <xf borderId="8" fillId="0" fontId="35" numFmtId="164" xfId="0" applyAlignment="1" applyBorder="1" applyFont="1" applyNumberFormat="1">
      <alignment vertical="center"/>
    </xf>
    <xf borderId="0" fillId="0" fontId="30" numFmtId="0" xfId="0" applyAlignment="1" applyFont="1">
      <alignment readingOrder="0"/>
    </xf>
    <xf borderId="0" fillId="0" fontId="36" numFmtId="0" xfId="0" applyAlignment="1" applyFont="1">
      <alignment horizontal="left" readingOrder="0"/>
    </xf>
    <xf borderId="0" fillId="0" fontId="37" numFmtId="0" xfId="0" applyAlignment="1" applyFont="1">
      <alignment horizontal="left" readingOrder="0"/>
    </xf>
    <xf borderId="16" fillId="0" fontId="13" numFmtId="0" xfId="0" applyBorder="1" applyFont="1"/>
    <xf borderId="9" fillId="0" fontId="30" numFmtId="0" xfId="0" applyAlignment="1" applyBorder="1" applyFont="1">
      <alignment horizontal="center" readingOrder="0"/>
    </xf>
    <xf borderId="10" fillId="0" fontId="30" numFmtId="0" xfId="0" applyAlignment="1" applyBorder="1" applyFont="1">
      <alignment horizontal="center" readingOrder="0"/>
    </xf>
    <xf borderId="16" fillId="0" fontId="30" numFmtId="0" xfId="0" applyAlignment="1" applyBorder="1" applyFont="1">
      <alignment horizontal="center" readingOrder="0"/>
    </xf>
    <xf borderId="0" fillId="0" fontId="30" numFmtId="0" xfId="0" applyAlignment="1" applyFont="1">
      <alignment horizontal="left" readingOrder="0"/>
    </xf>
    <xf borderId="0" fillId="0" fontId="30" numFmtId="164" xfId="0" applyAlignment="1" applyFont="1" applyNumberFormat="1">
      <alignment horizontal="left" readingOrder="0"/>
    </xf>
    <xf borderId="0" fillId="0" fontId="13" numFmtId="0" xfId="0" applyAlignment="1" applyFont="1">
      <alignment horizontal="right" readingOrder="0"/>
    </xf>
    <xf borderId="9" fillId="0" fontId="21" numFmtId="0" xfId="0" applyAlignment="1" applyBorder="1" applyFont="1">
      <alignment horizontal="left" readingOrder="0" shrinkToFit="0" vertical="bottom" wrapText="0"/>
    </xf>
    <xf borderId="10" fillId="0" fontId="0" numFmtId="0" xfId="0" applyAlignment="1" applyBorder="1" applyFont="1">
      <alignment readingOrder="0" shrinkToFit="0" vertical="bottom" wrapText="0"/>
    </xf>
    <xf borderId="11" fillId="10" fontId="18" numFmtId="0" xfId="0" applyAlignment="1" applyBorder="1" applyFill="1" applyFont="1">
      <alignment horizontal="right" readingOrder="0" shrinkToFit="0" vertical="bottom" wrapText="0"/>
    </xf>
    <xf borderId="10" fillId="0" fontId="0" numFmtId="0" xfId="0" applyAlignment="1" applyBorder="1" applyFont="1">
      <alignment horizontal="right" readingOrder="0" shrinkToFit="0" vertical="bottom" wrapText="0"/>
    </xf>
    <xf borderId="10" fillId="0" fontId="21" numFmtId="9" xfId="0" applyAlignment="1" applyBorder="1" applyFont="1" applyNumberFormat="1">
      <alignment horizontal="right" readingOrder="0" shrinkToFit="0" vertical="bottom" wrapText="0"/>
    </xf>
    <xf borderId="17" fillId="0" fontId="13" numFmtId="164" xfId="0" applyBorder="1" applyFont="1" applyNumberFormat="1"/>
    <xf borderId="18" fillId="0" fontId="13" numFmtId="0" xfId="0" applyAlignment="1" applyBorder="1" applyFont="1">
      <alignment readingOrder="0"/>
    </xf>
    <xf borderId="10" fillId="0" fontId="29" numFmtId="0" xfId="0" applyAlignment="1" applyBorder="1" applyFont="1">
      <alignment readingOrder="0" shrinkToFit="0" vertical="bottom" wrapText="0"/>
    </xf>
    <xf borderId="8" fillId="0" fontId="23" numFmtId="0" xfId="0" applyAlignment="1" applyBorder="1" applyFont="1">
      <alignment readingOrder="0" shrinkToFit="0" vertical="bottom" wrapText="0"/>
    </xf>
    <xf borderId="18" fillId="0" fontId="13" numFmtId="164" xfId="0" applyBorder="1" applyFont="1" applyNumberFormat="1"/>
    <xf borderId="19" fillId="11" fontId="30" numFmtId="0" xfId="0" applyAlignment="1" applyBorder="1" applyFill="1" applyFont="1">
      <alignment horizontal="center" readingOrder="0"/>
    </xf>
    <xf borderId="20" fillId="0" fontId="3" numFmtId="0" xfId="0" applyBorder="1" applyFont="1"/>
    <xf borderId="0" fillId="0" fontId="30" numFmtId="0" xfId="0" applyAlignment="1" applyFont="1">
      <alignment horizontal="right" readingOrder="0"/>
    </xf>
    <xf borderId="11" fillId="0" fontId="21" numFmtId="0" xfId="0" applyAlignment="1" applyBorder="1" applyFont="1">
      <alignment horizontal="right" readingOrder="0" shrinkToFit="0" vertical="bottom" wrapText="0"/>
    </xf>
    <xf borderId="17" fillId="0" fontId="30" numFmtId="168" xfId="0" applyBorder="1" applyFont="1" applyNumberFormat="1"/>
    <xf borderId="18" fillId="0" fontId="30" numFmtId="168" xfId="0" applyBorder="1" applyFont="1" applyNumberFormat="1"/>
    <xf borderId="0" fillId="0" fontId="30" numFmtId="168" xfId="0" applyFont="1" applyNumberFormat="1"/>
    <xf borderId="8" fillId="0" fontId="13" numFmtId="0" xfId="0" applyAlignment="1" applyBorder="1" applyFont="1">
      <alignment horizontal="center" readingOrder="0"/>
    </xf>
    <xf borderId="8" fillId="0" fontId="13" numFmtId="164" xfId="0" applyAlignment="1" applyBorder="1" applyFont="1" applyNumberFormat="1">
      <alignment horizontal="center"/>
    </xf>
    <xf borderId="8" fillId="0" fontId="13" numFmtId="0" xfId="0" applyAlignment="1" applyBorder="1" applyFont="1">
      <alignment readingOrder="0"/>
    </xf>
    <xf borderId="8" fillId="0" fontId="13" numFmtId="169" xfId="0" applyAlignment="1" applyBorder="1" applyFont="1" applyNumberFormat="1">
      <alignment readingOrder="0"/>
    </xf>
    <xf borderId="8" fillId="3" fontId="13" numFmtId="9" xfId="0" applyAlignment="1" applyBorder="1" applyFont="1" applyNumberFormat="1">
      <alignment readingOrder="0"/>
    </xf>
    <xf borderId="8" fillId="0" fontId="13" numFmtId="9" xfId="0" applyAlignment="1" applyBorder="1" applyFont="1" applyNumberFormat="1">
      <alignment readingOrder="0"/>
    </xf>
    <xf borderId="0" fillId="0" fontId="13" numFmtId="169" xfId="0" applyFont="1" applyNumberFormat="1"/>
    <xf borderId="8" fillId="0" fontId="13" numFmtId="164" xfId="0" applyAlignment="1" applyBorder="1" applyFont="1" applyNumberFormat="1">
      <alignment readingOrder="0"/>
    </xf>
    <xf borderId="8" fillId="0" fontId="13" numFmtId="164" xfId="0" applyBorder="1" applyFont="1" applyNumberFormat="1"/>
    <xf borderId="8" fillId="0" fontId="7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left" readingOrder="0" shrinkToFit="0" vertical="bottom" wrapText="0"/>
    </xf>
    <xf borderId="10" fillId="0" fontId="9" numFmtId="0" xfId="0" applyAlignment="1" applyBorder="1" applyFont="1">
      <alignment readingOrder="0" shrinkToFit="0" vertical="bottom" wrapText="0"/>
    </xf>
    <xf borderId="8" fillId="2" fontId="15" numFmtId="0" xfId="0" applyAlignment="1" applyBorder="1" applyFont="1">
      <alignment horizontal="right" readingOrder="0" shrinkToFit="0" vertical="bottom" wrapText="0"/>
    </xf>
    <xf borderId="10" fillId="0" fontId="9" numFmtId="0" xfId="0" applyAlignment="1" applyBorder="1" applyFont="1">
      <alignment horizontal="right" readingOrder="0" shrinkToFit="0" vertical="bottom" wrapText="0"/>
    </xf>
    <xf borderId="10" fillId="0" fontId="9" numFmtId="9" xfId="0" applyAlignment="1" applyBorder="1" applyFont="1" applyNumberFormat="1">
      <alignment horizontal="right" readingOrder="0" shrinkToFit="0" vertical="bottom" wrapText="0"/>
    </xf>
    <xf borderId="8" fillId="0" fontId="9" numFmtId="0" xfId="0" applyAlignment="1" applyBorder="1" applyFont="1">
      <alignment horizontal="center" readingOrder="0" shrinkToFit="0" vertical="bottom" wrapText="0"/>
    </xf>
    <xf borderId="8" fillId="5" fontId="15" numFmtId="2" xfId="0" applyAlignment="1" applyBorder="1" applyFont="1" applyNumberFormat="1">
      <alignment shrinkToFit="0" vertical="bottom" wrapText="0"/>
    </xf>
    <xf borderId="0" fillId="11" fontId="30" numFmtId="164" xfId="0" applyFont="1" applyNumberFormat="1"/>
    <xf borderId="0" fillId="0" fontId="13" numFmtId="164" xfId="0" applyFont="1" applyNumberFormat="1"/>
    <xf borderId="11" fillId="5" fontId="15" numFmtId="0" xfId="0" applyAlignment="1" applyBorder="1" applyFont="1">
      <alignment horizontal="right" readingOrder="0" shrinkToFit="0" vertical="bottom" wrapText="0"/>
    </xf>
    <xf borderId="8" fillId="0" fontId="9" numFmtId="2" xfId="0" applyBorder="1" applyFont="1" applyNumberFormat="1"/>
    <xf borderId="8" fillId="0" fontId="7" numFmtId="2" xfId="0" applyAlignment="1" applyBorder="1" applyFont="1" applyNumberFormat="1">
      <alignment readingOrder="0" shrinkToFit="0" vertical="bottom" wrapText="0"/>
    </xf>
    <xf borderId="8" fillId="0" fontId="7" numFmtId="2" xfId="0" applyAlignment="1" applyBorder="1" applyFont="1" applyNumberFormat="1">
      <alignment shrinkToFit="0" vertical="bottom" wrapText="0"/>
    </xf>
    <xf borderId="0" fillId="0" fontId="13" numFmtId="10" xfId="0" applyFont="1" applyNumberFormat="1"/>
    <xf borderId="6" fillId="0" fontId="13" numFmtId="0" xfId="0" applyAlignment="1" applyBorder="1" applyFont="1">
      <alignment readingOrder="0"/>
    </xf>
    <xf borderId="8" fillId="0" fontId="30" numFmtId="0" xfId="0" applyAlignment="1" applyBorder="1" applyFont="1">
      <alignment horizontal="center" readingOrder="0"/>
    </xf>
    <xf borderId="8" fillId="0" fontId="30" numFmtId="170" xfId="0" applyAlignment="1" applyBorder="1" applyFont="1" applyNumberFormat="1">
      <alignment horizontal="center" readingOrder="0"/>
    </xf>
    <xf borderId="19" fillId="0" fontId="13" numFmtId="0" xfId="0" applyAlignment="1" applyBorder="1" applyFont="1">
      <alignment readingOrder="0"/>
    </xf>
    <xf borderId="21" fillId="0" fontId="13" numFmtId="170" xfId="0" applyAlignment="1" applyBorder="1" applyFont="1" applyNumberFormat="1">
      <alignment readingOrder="0"/>
    </xf>
    <xf borderId="8" fillId="0" fontId="13" numFmtId="170" xfId="0" applyAlignment="1" applyBorder="1" applyFont="1" applyNumberFormat="1">
      <alignment readingOrder="0"/>
    </xf>
    <xf borderId="8" fillId="12" fontId="13" numFmtId="164" xfId="0" applyBorder="1" applyFill="1" applyFont="1" applyNumberFormat="1"/>
    <xf borderId="8" fillId="0" fontId="13" numFmtId="164" xfId="0" applyBorder="1" applyFont="1" applyNumberFormat="1"/>
    <xf borderId="19" fillId="0" fontId="13" numFmtId="164" xfId="0" applyBorder="1" applyFont="1" applyNumberFormat="1"/>
    <xf borderId="22" fillId="0" fontId="13" numFmtId="164" xfId="0" applyBorder="1" applyFont="1" applyNumberFormat="1"/>
    <xf borderId="0" fillId="0" fontId="34" numFmtId="9" xfId="0" applyAlignment="1" applyFont="1" applyNumberFormat="1">
      <alignment readingOrder="0" shrinkToFit="0" vertical="bottom" wrapText="0"/>
    </xf>
    <xf borderId="8" fillId="7" fontId="9" numFmtId="0" xfId="0" applyAlignment="1" applyBorder="1" applyFont="1">
      <alignment horizontal="center" shrinkToFit="0" vertical="bottom" wrapText="0"/>
    </xf>
    <xf borderId="8" fillId="3" fontId="13" numFmtId="164" xfId="0" applyBorder="1" applyFont="1" applyNumberFormat="1"/>
    <xf borderId="19" fillId="3" fontId="13" numFmtId="164" xfId="0" applyBorder="1" applyFont="1" applyNumberFormat="1"/>
    <xf borderId="0" fillId="0" fontId="9" numFmtId="0" xfId="0" applyAlignment="1" applyFont="1">
      <alignment shrinkToFit="0" vertical="bottom" wrapText="0"/>
    </xf>
    <xf borderId="19" fillId="13" fontId="12" numFmtId="0" xfId="0" applyAlignment="1" applyBorder="1" applyFill="1" applyFont="1">
      <alignment readingOrder="0" shrinkToFit="0" vertical="bottom" wrapText="0"/>
    </xf>
    <xf borderId="23" fillId="13" fontId="12" numFmtId="0" xfId="0" applyAlignment="1" applyBorder="1" applyFont="1">
      <alignment shrinkToFit="0" vertical="bottom" wrapText="0"/>
    </xf>
    <xf borderId="23" fillId="13" fontId="10" numFmtId="0" xfId="0" applyAlignment="1" applyBorder="1" applyFont="1">
      <alignment readingOrder="0" shrinkToFit="0" vertical="bottom" wrapText="0"/>
    </xf>
    <xf borderId="20" fillId="13" fontId="12" numFmtId="0" xfId="0" applyAlignment="1" applyBorder="1" applyFont="1">
      <alignment shrinkToFit="0" vertical="bottom" wrapText="0"/>
    </xf>
    <xf borderId="0" fillId="0" fontId="9" numFmtId="2" xfId="0" applyAlignment="1" applyFont="1" applyNumberFormat="1">
      <alignment shrinkToFit="0" vertical="bottom" wrapText="0"/>
    </xf>
    <xf borderId="11" fillId="2" fontId="15" numFmtId="0" xfId="0" applyAlignment="1" applyBorder="1" applyFont="1">
      <alignment horizontal="right" readingOrder="0" shrinkToFit="0" vertical="bottom" wrapText="0"/>
    </xf>
    <xf borderId="6" fillId="11" fontId="30" numFmtId="164" xfId="0" applyBorder="1" applyFont="1" applyNumberFormat="1"/>
    <xf borderId="10" fillId="0" fontId="9" numFmtId="164" xfId="0" applyAlignment="1" applyBorder="1" applyFont="1" applyNumberFormat="1">
      <alignment horizontal="right" readingOrder="0" shrinkToFit="0" vertical="bottom" wrapText="0"/>
    </xf>
    <xf borderId="0" fillId="12" fontId="13" numFmtId="0" xfId="0" applyAlignment="1" applyFont="1">
      <alignment readingOrder="0"/>
    </xf>
    <xf borderId="10" fillId="0" fontId="9" numFmtId="164" xfId="0" applyAlignment="1" applyBorder="1" applyFont="1" applyNumberFormat="1">
      <alignment readingOrder="0" shrinkToFit="0" vertical="bottom" wrapText="0"/>
    </xf>
    <xf borderId="0" fillId="0" fontId="13" numFmtId="168" xfId="0" applyFont="1" applyNumberFormat="1"/>
    <xf borderId="8" fillId="0" fontId="9" numFmtId="0" xfId="0" applyAlignment="1" applyBorder="1" applyFont="1">
      <alignment readingOrder="0" shrinkToFit="0" vertical="bottom" wrapText="0"/>
    </xf>
    <xf borderId="9" fillId="3" fontId="9" numFmtId="0" xfId="0" applyAlignment="1" applyBorder="1" applyFont="1">
      <alignment horizontal="left" readingOrder="0" shrinkToFit="0" vertical="bottom" wrapText="0"/>
    </xf>
    <xf borderId="0" fillId="9" fontId="13" numFmtId="0" xfId="0" applyAlignment="1" applyFont="1">
      <alignment readingOrder="0"/>
    </xf>
    <xf borderId="8" fillId="3" fontId="35" numFmtId="164" xfId="0" applyAlignment="1" applyBorder="1" applyFont="1" applyNumberFormat="1">
      <alignment vertical="center"/>
    </xf>
    <xf borderId="9" fillId="10" fontId="9" numFmtId="0" xfId="0" applyAlignment="1" applyBorder="1" applyFont="1">
      <alignment horizontal="left" readingOrder="0" shrinkToFit="0" vertical="bottom" wrapText="0"/>
    </xf>
    <xf borderId="8" fillId="3" fontId="5" numFmtId="164" xfId="0" applyAlignment="1" applyBorder="1" applyFont="1" applyNumberFormat="1">
      <alignment vertical="center"/>
    </xf>
    <xf borderId="8" fillId="5" fontId="38" numFmtId="2" xfId="0" applyAlignment="1" applyBorder="1" applyFont="1" applyNumberFormat="1">
      <alignment shrinkToFit="0" vertical="bottom" wrapText="0"/>
    </xf>
    <xf borderId="11" fillId="0" fontId="29" numFmtId="0" xfId="0" applyAlignment="1" applyBorder="1" applyFont="1">
      <alignment horizontal="right" readingOrder="0" shrinkToFit="0" vertical="bottom" wrapText="0"/>
    </xf>
    <xf borderId="8" fillId="0" fontId="38" numFmtId="2" xfId="0" applyBorder="1" applyFont="1" applyNumberFormat="1"/>
    <xf borderId="8" fillId="0" fontId="38" numFmtId="2" xfId="0" applyAlignment="1" applyBorder="1" applyFont="1" applyNumberFormat="1">
      <alignment readingOrder="0" shrinkToFit="0" vertical="bottom" wrapText="0"/>
    </xf>
    <xf borderId="8" fillId="0" fontId="38" numFmtId="2" xfId="0" applyAlignment="1" applyBorder="1" applyFont="1" applyNumberFormat="1">
      <alignment shrinkToFit="0" vertical="bottom" wrapText="0"/>
    </xf>
    <xf borderId="9" fillId="14" fontId="9" numFmtId="0" xfId="0" applyAlignment="1" applyBorder="1" applyFill="1" applyFont="1">
      <alignment horizontal="left" readingOrder="0" shrinkToFit="0" vertical="bottom" wrapText="0"/>
    </xf>
    <xf borderId="10" fillId="14" fontId="9" numFmtId="0" xfId="0" applyAlignment="1" applyBorder="1" applyFont="1">
      <alignment readingOrder="0" shrinkToFit="0" vertical="bottom" wrapText="0"/>
    </xf>
    <xf borderId="8" fillId="14" fontId="15" numFmtId="0" xfId="0" applyAlignment="1" applyBorder="1" applyFont="1">
      <alignment horizontal="right" readingOrder="0" shrinkToFit="0" vertical="bottom" wrapText="0"/>
    </xf>
    <xf borderId="10" fillId="14" fontId="9" numFmtId="164" xfId="0" applyAlignment="1" applyBorder="1" applyFont="1" applyNumberFormat="1">
      <alignment horizontal="right" readingOrder="0" shrinkToFit="0" vertical="bottom" wrapText="0"/>
    </xf>
    <xf borderId="10" fillId="14" fontId="9" numFmtId="9" xfId="0" applyAlignment="1" applyBorder="1" applyFont="1" applyNumberFormat="1">
      <alignment horizontal="right" readingOrder="0" shrinkToFit="0" vertical="bottom" wrapText="0"/>
    </xf>
    <xf borderId="10" fillId="14" fontId="9" numFmtId="164" xfId="0" applyAlignment="1" applyBorder="1" applyFont="1" applyNumberFormat="1">
      <alignment readingOrder="0" shrinkToFit="0" vertical="bottom" wrapText="0"/>
    </xf>
    <xf borderId="8" fillId="14" fontId="9" numFmtId="0" xfId="0" applyAlignment="1" applyBorder="1" applyFont="1">
      <alignment horizontal="center" readingOrder="0" shrinkToFit="0" vertical="bottom" wrapText="0"/>
    </xf>
    <xf borderId="10" fillId="7" fontId="9" numFmtId="164" xfId="0" applyAlignment="1" applyBorder="1" applyFont="1" applyNumberFormat="1">
      <alignment horizontal="right" readingOrder="0" shrinkToFit="0" vertical="bottom" wrapText="0"/>
    </xf>
    <xf borderId="10" fillId="7" fontId="9" numFmtId="164" xfId="0" applyAlignment="1" applyBorder="1" applyFont="1" applyNumberFormat="1">
      <alignment readingOrder="0" shrinkToFit="0" vertical="bottom" wrapText="0"/>
    </xf>
    <xf borderId="8" fillId="2" fontId="12" numFmtId="0" xfId="0" applyAlignment="1" applyBorder="1" applyFont="1">
      <alignment horizontal="center" readingOrder="0"/>
    </xf>
    <xf borderId="20" fillId="2" fontId="12" numFmtId="0" xfId="0" applyAlignment="1" applyBorder="1" applyFont="1">
      <alignment horizontal="center" readingOrder="0"/>
    </xf>
    <xf borderId="23" fillId="2" fontId="12" numFmtId="0" xfId="0" applyAlignment="1" applyBorder="1" applyFont="1">
      <alignment horizontal="center" readingOrder="0"/>
    </xf>
    <xf borderId="19" fillId="2" fontId="12" numFmtId="0" xfId="0" applyAlignment="1" applyBorder="1" applyFont="1">
      <alignment horizontal="center" readingOrder="0"/>
    </xf>
    <xf borderId="24" fillId="2" fontId="12" numFmtId="0" xfId="0" applyAlignment="1" applyBorder="1" applyFont="1">
      <alignment horizontal="center" readingOrder="0"/>
    </xf>
    <xf borderId="24" fillId="0" fontId="3" numFmtId="0" xfId="0" applyBorder="1" applyFont="1"/>
    <xf borderId="25" fillId="0" fontId="3" numFmtId="0" xfId="0" applyBorder="1" applyFont="1"/>
    <xf borderId="9" fillId="0" fontId="9" numFmtId="0" xfId="0" applyAlignment="1" applyBorder="1" applyFont="1">
      <alignment horizontal="left" readingOrder="0" shrinkToFit="0" wrapText="0"/>
    </xf>
    <xf borderId="10" fillId="0" fontId="9" numFmtId="171" xfId="0" applyAlignment="1" applyBorder="1" applyFont="1" applyNumberFormat="1">
      <alignment horizontal="center" readingOrder="0"/>
    </xf>
    <xf borderId="10" fillId="0" fontId="9" numFmtId="0" xfId="0" applyAlignment="1" applyBorder="1" applyFont="1">
      <alignment horizontal="center" readingOrder="0"/>
    </xf>
    <xf borderId="10" fillId="0" fontId="9" numFmtId="164" xfId="0" applyAlignment="1" applyBorder="1" applyFont="1" applyNumberFormat="1">
      <alignment horizontal="center" readingOrder="0"/>
    </xf>
    <xf borderId="16" fillId="15" fontId="9" numFmtId="164" xfId="0" applyAlignment="1" applyBorder="1" applyFill="1" applyFont="1" applyNumberFormat="1">
      <alignment horizontal="center" readingOrder="0"/>
    </xf>
    <xf borderId="26" fillId="3" fontId="9" numFmtId="164" xfId="0" applyAlignment="1" applyBorder="1" applyFont="1" applyNumberFormat="1">
      <alignment horizontal="center" readingOrder="0"/>
    </xf>
    <xf borderId="26" fillId="15" fontId="9" numFmtId="164" xfId="0" applyAlignment="1" applyBorder="1" applyFont="1" applyNumberFormat="1">
      <alignment horizontal="center" readingOrder="0"/>
    </xf>
    <xf borderId="26" fillId="0" fontId="9" numFmtId="164" xfId="0" applyAlignment="1" applyBorder="1" applyFont="1" applyNumberFormat="1">
      <alignment horizontal="center" readingOrder="0"/>
    </xf>
    <xf borderId="26" fillId="0" fontId="9" numFmtId="0" xfId="0" applyAlignment="1" applyBorder="1" applyFont="1">
      <alignment horizontal="center" readingOrder="0"/>
    </xf>
    <xf borderId="19" fillId="0" fontId="9" numFmtId="0" xfId="0" applyAlignment="1" applyBorder="1" applyFont="1">
      <alignment horizontal="left" readingOrder="0" shrinkToFit="0" wrapText="0"/>
    </xf>
    <xf borderId="23" fillId="0" fontId="9" numFmtId="0" xfId="0" applyBorder="1" applyFont="1"/>
    <xf borderId="20" fillId="0" fontId="9" numFmtId="0" xfId="0" applyBorder="1" applyFont="1"/>
    <xf borderId="9" fillId="0" fontId="9" numFmtId="0" xfId="0" applyAlignment="1" applyBorder="1" applyFont="1">
      <alignment readingOrder="0" shrinkToFit="0" vertical="bottom" wrapText="0"/>
    </xf>
    <xf borderId="26" fillId="0" fontId="9" numFmtId="0" xfId="0" applyAlignment="1" applyBorder="1" applyFont="1">
      <alignment horizontal="center" readingOrder="0" shrinkToFit="0" vertical="bottom" wrapText="0"/>
    </xf>
    <xf borderId="16" fillId="0" fontId="9" numFmtId="164" xfId="0" applyAlignment="1" applyBorder="1" applyFont="1" applyNumberFormat="1">
      <alignment horizontal="center" readingOrder="0"/>
    </xf>
    <xf quotePrefix="1" borderId="0" fillId="9" fontId="13" numFmtId="0" xfId="0" applyAlignment="1" applyFont="1">
      <alignment readingOrder="0"/>
    </xf>
    <xf borderId="11" fillId="14" fontId="15" numFmtId="0" xfId="0" applyAlignment="1" applyBorder="1" applyFont="1">
      <alignment horizontal="right" readingOrder="0" shrinkToFit="0" vertical="bottom" wrapText="0"/>
    </xf>
    <xf borderId="9" fillId="0" fontId="9" numFmtId="0" xfId="0" applyAlignment="1" applyBorder="1" applyFont="1">
      <alignment horizontal="center" readingOrder="0" shrinkToFit="0" vertical="bottom" wrapText="0"/>
    </xf>
    <xf borderId="19" fillId="16" fontId="39" numFmtId="0" xfId="0" applyAlignment="1" applyBorder="1" applyFill="1" applyFont="1">
      <alignment horizontal="center" readingOrder="0"/>
    </xf>
    <xf borderId="10" fillId="16" fontId="39" numFmtId="0" xfId="0" applyAlignment="1" applyBorder="1" applyFont="1">
      <alignment horizontal="center" readingOrder="0" shrinkToFit="0" vertical="bottom" wrapText="0"/>
    </xf>
    <xf borderId="10" fillId="16" fontId="39" numFmtId="164" xfId="0" applyAlignment="1" applyBorder="1" applyFont="1" applyNumberFormat="1">
      <alignment horizontal="center" readingOrder="0" shrinkToFit="0" vertical="bottom" wrapText="0"/>
    </xf>
    <xf borderId="8" fillId="16" fontId="39" numFmtId="0" xfId="0" applyAlignment="1" applyBorder="1" applyFont="1">
      <alignment horizontal="center" shrinkToFit="0" vertical="bottom" wrapText="0"/>
    </xf>
    <xf borderId="23" fillId="16" fontId="39" numFmtId="0" xfId="0" applyAlignment="1" applyBorder="1" applyFont="1">
      <alignment horizontal="center" shrinkToFit="0" vertical="bottom" wrapText="0"/>
    </xf>
    <xf borderId="20" fillId="16" fontId="39" numFmtId="0" xfId="0" applyAlignment="1" applyBorder="1" applyFont="1">
      <alignment horizontal="center" shrinkToFit="0" vertical="bottom" wrapText="0"/>
    </xf>
    <xf borderId="10" fillId="0" fontId="9" numFmtId="3" xfId="0" applyAlignment="1" applyBorder="1" applyFont="1" applyNumberFormat="1">
      <alignment horizontal="center" readingOrder="0"/>
    </xf>
    <xf borderId="26" fillId="3" fontId="38" numFmtId="164" xfId="0" applyAlignment="1" applyBorder="1" applyFont="1" applyNumberFormat="1">
      <alignment horizontal="center" readingOrder="0"/>
    </xf>
    <xf borderId="8" fillId="0" fontId="9" numFmtId="2" xfId="0" applyAlignment="1" applyBorder="1" applyFont="1" applyNumberFormat="1">
      <alignment readingOrder="0" shrinkToFit="0" vertical="bottom" wrapText="0"/>
    </xf>
    <xf borderId="8" fillId="0" fontId="24" numFmtId="0" xfId="0" applyAlignment="1" applyBorder="1" applyFont="1">
      <alignment horizontal="center" readingOrder="0"/>
    </xf>
    <xf borderId="0" fillId="17" fontId="8" numFmtId="9" xfId="0" applyAlignment="1" applyFill="1" applyFont="1" applyNumberFormat="1">
      <alignment readingOrder="0" shrinkToFit="0" vertical="bottom" wrapText="0"/>
    </xf>
    <xf borderId="9" fillId="0" fontId="24" numFmtId="171" xfId="0" applyAlignment="1" applyBorder="1" applyFont="1" applyNumberFormat="1">
      <alignment horizontal="center" readingOrder="0"/>
    </xf>
    <xf borderId="9" fillId="0" fontId="24" numFmtId="0" xfId="0" applyAlignment="1" applyBorder="1" applyFont="1">
      <alignment horizontal="center" readingOrder="0"/>
    </xf>
    <xf borderId="10" fillId="16" fontId="39" numFmtId="3" xfId="0" applyAlignment="1" applyBorder="1" applyFont="1" applyNumberFormat="1">
      <alignment horizontal="center" readingOrder="0" shrinkToFit="0" vertical="bottom" wrapText="0"/>
    </xf>
    <xf borderId="26" fillId="18" fontId="9" numFmtId="164" xfId="0" applyAlignment="1" applyBorder="1" applyFill="1" applyFont="1" applyNumberFormat="1">
      <alignment horizontal="center" readingOrder="0"/>
    </xf>
    <xf borderId="10" fillId="0" fontId="9" numFmtId="4" xfId="0" applyAlignment="1" applyBorder="1" applyFont="1" applyNumberFormat="1">
      <alignment horizontal="center" readingOrder="0"/>
    </xf>
    <xf borderId="9" fillId="19" fontId="9" numFmtId="0" xfId="0" applyAlignment="1" applyBorder="1" applyFill="1" applyFont="1">
      <alignment horizontal="left" readingOrder="0" shrinkToFit="0" vertical="bottom" wrapText="0"/>
    </xf>
    <xf borderId="0" fillId="0" fontId="8" numFmtId="9" xfId="0" applyAlignment="1" applyFont="1" applyNumberFormat="1">
      <alignment readingOrder="0" shrinkToFit="0" vertical="bottom" wrapText="0"/>
    </xf>
    <xf borderId="8" fillId="0" fontId="9" numFmtId="164" xfId="0" applyAlignment="1" applyBorder="1" applyFont="1" applyNumberFormat="1">
      <alignment horizontal="center" readingOrder="0"/>
    </xf>
    <xf borderId="8" fillId="15" fontId="9" numFmtId="164" xfId="0" applyAlignment="1" applyBorder="1" applyFont="1" applyNumberFormat="1">
      <alignment horizontal="center" readingOrder="0"/>
    </xf>
    <xf borderId="8" fillId="3" fontId="9" numFmtId="164" xfId="0" applyAlignment="1" applyBorder="1" applyFont="1" applyNumberFormat="1">
      <alignment horizontal="center" readingOrder="0"/>
    </xf>
    <xf borderId="23" fillId="0" fontId="9" numFmtId="0" xfId="0" applyAlignment="1" applyBorder="1" applyFont="1">
      <alignment horizontal="left" readingOrder="0" shrinkToFit="0" wrapText="0"/>
    </xf>
    <xf borderId="16" fillId="0" fontId="9" numFmtId="4" xfId="0" applyAlignment="1" applyBorder="1" applyFont="1" applyNumberFormat="1">
      <alignment horizontal="center" readingOrder="0"/>
    </xf>
    <xf borderId="0" fillId="17" fontId="28" numFmtId="9" xfId="0" applyAlignment="1" applyFont="1" applyNumberFormat="1">
      <alignment readingOrder="0" shrinkToFit="0" vertical="bottom" wrapText="0"/>
    </xf>
    <xf borderId="10" fillId="0" fontId="9" numFmtId="0" xfId="0" applyAlignment="1" applyBorder="1" applyFont="1">
      <alignment horizontal="center" readingOrder="0" shrinkToFit="0" vertical="bottom" wrapText="0"/>
    </xf>
    <xf borderId="8" fillId="5" fontId="38" numFmtId="164" xfId="0" applyAlignment="1" applyBorder="1" applyFont="1" applyNumberFormat="1">
      <alignment readingOrder="0" shrinkToFit="0" vertical="bottom" wrapText="0"/>
    </xf>
    <xf borderId="8" fillId="0" fontId="38" numFmtId="0" xfId="0" applyAlignment="1" applyBorder="1" applyFont="1">
      <alignment readingOrder="0" shrinkToFit="0" vertical="bottom" wrapText="0"/>
    </xf>
    <xf borderId="9" fillId="15" fontId="9" numFmtId="0" xfId="0" applyAlignment="1" applyBorder="1" applyFont="1">
      <alignment shrinkToFit="0" vertical="bottom" wrapText="0"/>
    </xf>
    <xf borderId="9" fillId="15" fontId="24" numFmtId="171" xfId="0" applyAlignment="1" applyBorder="1" applyFont="1" applyNumberFormat="1">
      <alignment horizontal="center"/>
    </xf>
    <xf borderId="10" fillId="15" fontId="9" numFmtId="3" xfId="0" applyAlignment="1" applyBorder="1" applyFont="1" applyNumberFormat="1">
      <alignment horizontal="center"/>
    </xf>
    <xf borderId="10" fillId="15" fontId="9" numFmtId="164" xfId="0" applyAlignment="1" applyBorder="1" applyFont="1" applyNumberFormat="1">
      <alignment horizontal="center"/>
    </xf>
    <xf borderId="26" fillId="15" fontId="9" numFmtId="164" xfId="0" applyAlignment="1" applyBorder="1" applyFont="1" applyNumberFormat="1">
      <alignment horizontal="center"/>
    </xf>
    <xf borderId="9" fillId="15" fontId="9" numFmtId="0" xfId="0" applyAlignment="1" applyBorder="1" applyFont="1">
      <alignment horizontal="center" shrinkToFit="0" vertical="bottom" wrapText="0"/>
    </xf>
    <xf borderId="19" fillId="15" fontId="9" numFmtId="0" xfId="0" applyAlignment="1" applyBorder="1" applyFont="1">
      <alignment horizontal="left" shrinkToFit="0" wrapText="0"/>
    </xf>
    <xf borderId="23" fillId="15" fontId="9" numFmtId="0" xfId="0" applyBorder="1" applyFont="1"/>
    <xf borderId="20" fillId="15" fontId="9" numFmtId="0" xfId="0" applyBorder="1" applyFont="1"/>
    <xf borderId="9" fillId="13" fontId="9" numFmtId="0" xfId="0" applyAlignment="1" applyBorder="1" applyFont="1">
      <alignment shrinkToFit="0" vertical="bottom" wrapText="0"/>
    </xf>
    <xf borderId="9" fillId="0" fontId="24" numFmtId="171" xfId="0" applyAlignment="1" applyBorder="1" applyFont="1" applyNumberFormat="1">
      <alignment horizontal="center"/>
    </xf>
    <xf borderId="10" fillId="0" fontId="9" numFmtId="3" xfId="0" applyAlignment="1" applyBorder="1" applyFont="1" applyNumberFormat="1">
      <alignment horizontal="center"/>
    </xf>
    <xf borderId="10" fillId="0" fontId="9" numFmtId="164" xfId="0" applyAlignment="1" applyBorder="1" applyFont="1" applyNumberFormat="1">
      <alignment horizontal="center"/>
    </xf>
    <xf borderId="16" fillId="15" fontId="9" numFmtId="164" xfId="0" applyAlignment="1" applyBorder="1" applyFont="1" applyNumberFormat="1">
      <alignment horizontal="center"/>
    </xf>
    <xf borderId="26" fillId="3" fontId="9" numFmtId="164" xfId="0" applyAlignment="1" applyBorder="1" applyFont="1" applyNumberFormat="1">
      <alignment horizontal="center"/>
    </xf>
    <xf borderId="26" fillId="0" fontId="9" numFmtId="164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 shrinkToFit="0" vertical="bottom" wrapText="0"/>
    </xf>
    <xf borderId="19" fillId="0" fontId="9" numFmtId="0" xfId="0" applyAlignment="1" applyBorder="1" applyFont="1">
      <alignment horizontal="left" shrinkToFit="0" wrapText="0"/>
    </xf>
    <xf borderId="9" fillId="0" fontId="9" numFmtId="0" xfId="0" applyAlignment="1" applyBorder="1" applyFont="1">
      <alignment shrinkToFit="0" vertical="bottom" wrapText="0"/>
    </xf>
    <xf borderId="9" fillId="20" fontId="9" numFmtId="0" xfId="0" applyAlignment="1" applyBorder="1" applyFill="1" applyFont="1">
      <alignment readingOrder="0" shrinkToFit="0" vertical="bottom" wrapText="0"/>
    </xf>
    <xf borderId="9" fillId="0" fontId="24" numFmtId="0" xfId="0" applyAlignment="1" applyBorder="1" applyFont="1">
      <alignment horizontal="center"/>
    </xf>
    <xf borderId="8" fillId="21" fontId="29" numFmtId="0" xfId="0" applyAlignment="1" applyBorder="1" applyFill="1" applyFont="1">
      <alignment horizontal="left" readingOrder="0" shrinkToFit="0" vertical="bottom" wrapText="0"/>
    </xf>
    <xf borderId="8" fillId="0" fontId="29" numFmtId="0" xfId="0" applyAlignment="1" applyBorder="1" applyFont="1">
      <alignment readingOrder="0" shrinkToFit="0" vertical="bottom" wrapText="0"/>
    </xf>
    <xf borderId="8" fillId="0" fontId="29" numFmtId="0" xfId="0" applyAlignment="1" applyBorder="1" applyFont="1">
      <alignment horizontal="right" readingOrder="0" shrinkToFit="0" vertical="bottom" wrapText="0"/>
    </xf>
    <xf borderId="8" fillId="0" fontId="29" numFmtId="9" xfId="0" applyAlignment="1" applyBorder="1" applyFont="1" applyNumberFormat="1">
      <alignment horizontal="right" readingOrder="0"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26" fillId="22" fontId="15" numFmtId="164" xfId="0" applyAlignment="1" applyBorder="1" applyFill="1" applyFont="1" applyNumberFormat="1">
      <alignment horizontal="center" readingOrder="0"/>
    </xf>
    <xf borderId="9" fillId="0" fontId="29" numFmtId="0" xfId="0" applyAlignment="1" applyBorder="1" applyFont="1">
      <alignment horizontal="left" readingOrder="0" shrinkToFit="0" vertical="bottom" wrapText="0"/>
    </xf>
    <xf borderId="10" fillId="0" fontId="29" numFmtId="0" xfId="0" applyAlignment="1" applyBorder="1" applyFont="1">
      <alignment horizontal="right" readingOrder="0" shrinkToFit="0" vertical="bottom" wrapText="0"/>
    </xf>
    <xf borderId="10" fillId="0" fontId="29" numFmtId="9" xfId="0" applyAlignment="1" applyBorder="1" applyFont="1" applyNumberFormat="1">
      <alignment horizontal="right" readingOrder="0" shrinkToFit="0" vertical="bottom" wrapText="0"/>
    </xf>
    <xf borderId="9" fillId="0" fontId="38" numFmtId="0" xfId="0" applyAlignment="1" applyBorder="1" applyFont="1">
      <alignment horizontal="left" readingOrder="0" shrinkToFit="0" vertical="bottom" wrapText="0"/>
    </xf>
    <xf borderId="8" fillId="17" fontId="18" numFmtId="0" xfId="0" applyAlignment="1" applyBorder="1" applyFont="1">
      <alignment horizontal="right" readingOrder="0" shrinkToFit="0" vertical="bottom" wrapText="0"/>
    </xf>
    <xf borderId="10" fillId="0" fontId="21" numFmtId="0" xfId="0" applyAlignment="1" applyBorder="1" applyFont="1">
      <alignment horizontal="right" readingOrder="0" shrinkToFit="0" vertical="bottom" wrapText="0"/>
    </xf>
    <xf borderId="8" fillId="0" fontId="28" numFmtId="0" xfId="0" applyAlignment="1" applyBorder="1" applyFont="1">
      <alignment readingOrder="0" shrinkToFit="0" vertical="bottom" wrapText="0"/>
    </xf>
    <xf borderId="9" fillId="23" fontId="9" numFmtId="0" xfId="0" applyAlignment="1" applyBorder="1" applyFill="1" applyFont="1">
      <alignment shrinkToFit="0" vertical="bottom" wrapText="0"/>
    </xf>
    <xf borderId="9" fillId="23" fontId="9" numFmtId="0" xfId="0" applyAlignment="1" applyBorder="1" applyFont="1">
      <alignment readingOrder="0" shrinkToFit="0" vertical="bottom" wrapText="0"/>
    </xf>
    <xf borderId="8" fillId="5" fontId="15" numFmtId="164" xfId="0" applyAlignment="1" applyBorder="1" applyFont="1" applyNumberFormat="1">
      <alignment shrinkToFit="0" vertical="bottom" wrapText="0"/>
    </xf>
    <xf borderId="11" fillId="0" fontId="15" numFmtId="0" xfId="0" applyAlignment="1" applyBorder="1" applyFont="1">
      <alignment horizontal="right" readingOrder="0" shrinkToFit="0" vertical="bottom" wrapText="0"/>
    </xf>
    <xf borderId="9" fillId="14" fontId="15" numFmtId="0" xfId="0" applyAlignment="1" applyBorder="1" applyFont="1">
      <alignment horizontal="left" readingOrder="0" shrinkToFit="0" vertical="bottom" wrapText="0"/>
    </xf>
    <xf borderId="10" fillId="14" fontId="15" numFmtId="0" xfId="0" applyAlignment="1" applyBorder="1" applyFont="1">
      <alignment readingOrder="0" shrinkToFit="0" vertical="bottom" wrapText="0"/>
    </xf>
    <xf borderId="10" fillId="15" fontId="9" numFmtId="164" xfId="0" applyAlignment="1" applyBorder="1" applyFont="1" applyNumberFormat="1">
      <alignment horizontal="center" readingOrder="0"/>
    </xf>
    <xf borderId="10" fillId="3" fontId="9" numFmtId="164" xfId="0" applyAlignment="1" applyBorder="1" applyFont="1" applyNumberFormat="1">
      <alignment horizontal="center" readingOrder="0"/>
    </xf>
    <xf borderId="10" fillId="14" fontId="15" numFmtId="164" xfId="0" applyAlignment="1" applyBorder="1" applyFont="1" applyNumberFormat="1">
      <alignment horizontal="right" readingOrder="0" shrinkToFit="0" vertical="bottom" wrapText="0"/>
    </xf>
    <xf borderId="10" fillId="14" fontId="15" numFmtId="9" xfId="0" applyAlignment="1" applyBorder="1" applyFont="1" applyNumberFormat="1">
      <alignment horizontal="right" readingOrder="0" shrinkToFit="0" vertical="bottom" wrapText="0"/>
    </xf>
    <xf borderId="10" fillId="14" fontId="15" numFmtId="164" xfId="0" applyAlignment="1" applyBorder="1" applyFont="1" applyNumberFormat="1">
      <alignment readingOrder="0" shrinkToFit="0" vertical="bottom" wrapText="0"/>
    </xf>
    <xf borderId="8" fillId="14" fontId="15" numFmtId="0" xfId="0" applyAlignment="1" applyBorder="1" applyFont="1">
      <alignment horizontal="center" readingOrder="0" shrinkToFit="0" vertical="bottom" wrapText="0"/>
    </xf>
    <xf borderId="0" fillId="24" fontId="7" numFmtId="0" xfId="0" applyAlignment="1" applyFill="1" applyFont="1">
      <alignment shrinkToFit="0" vertical="bottom" wrapText="0"/>
    </xf>
    <xf borderId="0" fillId="24" fontId="9" numFmtId="0" xfId="0" applyFont="1"/>
    <xf borderId="0" fillId="21" fontId="7" numFmtId="0" xfId="0" applyAlignment="1" applyFont="1">
      <alignment shrinkToFit="0" vertical="bottom" wrapText="0"/>
    </xf>
    <xf borderId="0" fillId="21" fontId="9" numFmtId="0" xfId="0" applyFont="1"/>
    <xf borderId="10" fillId="25" fontId="9" numFmtId="164" xfId="0" applyAlignment="1" applyBorder="1" applyFill="1" applyFont="1" applyNumberFormat="1">
      <alignment horizontal="center"/>
    </xf>
    <xf borderId="16" fillId="0" fontId="9" numFmtId="164" xfId="0" applyAlignment="1" applyBorder="1" applyFont="1" applyNumberFormat="1">
      <alignment horizontal="center"/>
    </xf>
    <xf borderId="23" fillId="0" fontId="9" numFmtId="0" xfId="0" applyAlignment="1" applyBorder="1" applyFont="1">
      <alignment horizontal="left" shrinkToFit="0" wrapText="0"/>
    </xf>
    <xf borderId="9" fillId="20" fontId="9" numFmtId="0" xfId="0" applyAlignment="1" applyBorder="1" applyFont="1">
      <alignment shrinkToFit="0" vertical="bottom" wrapText="0"/>
    </xf>
    <xf borderId="10" fillId="3" fontId="9" numFmtId="164" xfId="0" applyAlignment="1" applyBorder="1" applyFont="1" applyNumberFormat="1">
      <alignment horizontal="center"/>
    </xf>
    <xf borderId="8" fillId="5" fontId="38" numFmtId="164" xfId="0" applyAlignment="1" applyBorder="1" applyFont="1" applyNumberFormat="1">
      <alignment shrinkToFit="0" vertical="bottom" wrapText="0"/>
    </xf>
    <xf borderId="8" fillId="5" fontId="38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9" fillId="8" fontId="9" numFmtId="0" xfId="0" applyAlignment="1" applyBorder="1" applyFont="1">
      <alignment shrinkToFit="0" vertical="bottom" wrapText="0"/>
    </xf>
    <xf borderId="10" fillId="26" fontId="9" numFmtId="164" xfId="0" applyAlignment="1" applyBorder="1" applyFill="1" applyFont="1" applyNumberFormat="1">
      <alignment horizontal="center"/>
    </xf>
    <xf borderId="8" fillId="5" fontId="38" numFmtId="0" xfId="0" applyAlignment="1" applyBorder="1" applyFont="1">
      <alignment readingOrder="0" shrinkToFit="0" vertical="bottom" wrapText="0"/>
    </xf>
    <xf borderId="9" fillId="26" fontId="9" numFmtId="0" xfId="0" applyAlignment="1" applyBorder="1" applyFont="1">
      <alignment shrinkToFit="0" vertical="bottom" wrapText="0"/>
    </xf>
    <xf borderId="19" fillId="27" fontId="39" numFmtId="0" xfId="0" applyAlignment="1" applyBorder="1" applyFill="1" applyFont="1">
      <alignment horizontal="center" readingOrder="0"/>
    </xf>
    <xf borderId="23" fillId="27" fontId="39" numFmtId="4" xfId="0" applyAlignment="1" applyBorder="1" applyFont="1" applyNumberFormat="1">
      <alignment horizontal="center" readingOrder="0"/>
    </xf>
    <xf borderId="19" fillId="27" fontId="39" numFmtId="164" xfId="0" applyAlignment="1" applyBorder="1" applyFont="1" applyNumberFormat="1">
      <alignment horizontal="center" readingOrder="0"/>
    </xf>
    <xf borderId="23" fillId="27" fontId="13" numFmtId="0" xfId="0" applyBorder="1" applyFont="1"/>
    <xf borderId="20" fillId="27" fontId="13" numFmtId="0" xfId="0" applyBorder="1" applyFont="1"/>
    <xf borderId="0" fillId="9" fontId="13" numFmtId="10" xfId="0" applyFont="1" applyNumberFormat="1"/>
    <xf borderId="0" fillId="9" fontId="40" numFmtId="0" xfId="0" applyAlignment="1" applyFont="1">
      <alignment readingOrder="0"/>
    </xf>
    <xf borderId="8" fillId="24" fontId="39" numFmtId="164" xfId="0" applyAlignment="1" applyBorder="1" applyFont="1" applyNumberFormat="1">
      <alignment horizontal="center" readingOrder="0"/>
    </xf>
    <xf borderId="0" fillId="9" fontId="14" numFmtId="0" xfId="0" applyAlignment="1" applyFont="1">
      <alignment horizontal="center" readingOrder="0"/>
    </xf>
    <xf borderId="8" fillId="27" fontId="39" numFmtId="164" xfId="0" applyAlignment="1" applyBorder="1" applyFont="1" applyNumberFormat="1">
      <alignment horizontal="center" readingOrder="0"/>
    </xf>
    <xf borderId="0" fillId="9" fontId="14" numFmtId="9" xfId="0" applyAlignment="1" applyFont="1" applyNumberFormat="1">
      <alignment horizontal="center" readingOrder="0"/>
    </xf>
    <xf borderId="8" fillId="9" fontId="13" numFmtId="0" xfId="0" applyAlignment="1" applyBorder="1" applyFont="1">
      <alignment readingOrder="0"/>
    </xf>
    <xf borderId="8" fillId="9" fontId="14" numFmtId="0" xfId="0" applyAlignment="1" applyBorder="1" applyFont="1">
      <alignment horizontal="center" readingOrder="0"/>
    </xf>
    <xf borderId="8" fillId="9" fontId="13" numFmtId="0" xfId="0" applyBorder="1" applyFont="1"/>
    <xf borderId="8" fillId="9" fontId="13" numFmtId="164" xfId="0" applyBorder="1" applyFont="1" applyNumberFormat="1"/>
    <xf borderId="8" fillId="9" fontId="14" numFmtId="0" xfId="0" applyAlignment="1" applyBorder="1" applyFont="1">
      <alignment horizontal="center"/>
    </xf>
    <xf borderId="0" fillId="9" fontId="13" numFmtId="164" xfId="0" applyFont="1" applyNumberFormat="1"/>
    <xf borderId="0" fillId="9" fontId="14" numFmtId="0" xfId="0" applyAlignment="1" applyFont="1">
      <alignment horizontal="center"/>
    </xf>
    <xf borderId="24" fillId="9" fontId="14" numFmtId="0" xfId="0" applyAlignment="1" applyBorder="1" applyFont="1">
      <alignment horizontal="center" readingOrder="0"/>
    </xf>
    <xf borderId="0" fillId="9" fontId="30" numFmtId="164" xfId="0" applyAlignment="1" applyFont="1" applyNumberFormat="1">
      <alignment horizontal="center"/>
    </xf>
    <xf borderId="8" fillId="26" fontId="39" numFmtId="164" xfId="0" applyAlignment="1" applyBorder="1" applyFont="1" applyNumberFormat="1">
      <alignment horizontal="center" readingOrder="0"/>
    </xf>
    <xf borderId="24" fillId="9" fontId="14" numFmtId="0" xfId="0" applyAlignment="1" applyBorder="1" applyFont="1">
      <alignment horizontal="left" readingOrder="0"/>
    </xf>
    <xf borderId="10" fillId="14" fontId="9" numFmtId="0" xfId="0" applyAlignment="1" applyBorder="1" applyFont="1">
      <alignment horizontal="right" readingOrder="0" shrinkToFit="0" vertical="bottom" wrapText="0"/>
    </xf>
    <xf borderId="0" fillId="5" fontId="15" numFmtId="0" xfId="0" applyAlignment="1" applyFont="1">
      <alignment shrinkToFit="0" vertical="bottom" wrapText="0"/>
    </xf>
    <xf borderId="17" fillId="0" fontId="9" numFmtId="0" xfId="0" applyAlignment="1" applyBorder="1" applyFont="1">
      <alignment horizontal="left" readingOrder="0" shrinkToFit="0" vertical="bottom" wrapText="0"/>
    </xf>
    <xf borderId="18" fillId="0" fontId="9" numFmtId="0" xfId="0" applyAlignment="1" applyBorder="1" applyFont="1">
      <alignment readingOrder="0" shrinkToFit="0" vertical="bottom" wrapText="0"/>
    </xf>
    <xf borderId="18" fillId="14" fontId="9" numFmtId="0" xfId="0" applyAlignment="1" applyBorder="1" applyFont="1">
      <alignment horizontal="right" readingOrder="0" shrinkToFit="0" vertical="bottom" wrapText="0"/>
    </xf>
    <xf borderId="18" fillId="0" fontId="9" numFmtId="9" xfId="0" applyAlignment="1" applyBorder="1" applyFont="1" applyNumberFormat="1">
      <alignment horizontal="right" readingOrder="0" shrinkToFit="0" vertical="bottom" wrapText="0"/>
    </xf>
    <xf borderId="11" fillId="0" fontId="9" numFmtId="0" xfId="0" applyAlignment="1" applyBorder="1" applyFont="1">
      <alignment horizontal="center" readingOrder="0" shrinkToFit="0" vertical="bottom" wrapText="0"/>
    </xf>
    <xf borderId="0" fillId="24" fontId="8" numFmtId="0" xfId="0" applyAlignment="1" applyFont="1">
      <alignment readingOrder="0" shrinkToFit="0" vertical="bottom" wrapText="0"/>
    </xf>
    <xf borderId="8" fillId="0" fontId="9" numFmtId="2" xfId="0" applyAlignment="1" applyBorder="1" applyFont="1" applyNumberFormat="1">
      <alignment shrinkToFit="0" vertical="bottom" wrapText="0"/>
    </xf>
    <xf borderId="8" fillId="7" fontId="7" numFmtId="0" xfId="0" applyAlignment="1" applyBorder="1" applyFont="1">
      <alignment horizontal="center" readingOrder="0" shrinkToFit="0" vertical="bottom" wrapText="0"/>
    </xf>
    <xf borderId="0" fillId="0" fontId="13" numFmtId="164" xfId="0" applyAlignment="1" applyFont="1" applyNumberFormat="1">
      <alignment readingOrder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164" xfId="0" applyAlignment="1" applyFont="1" applyNumberFormat="1">
      <alignment readingOrder="0" shrinkToFit="0" vertical="center" wrapText="0"/>
    </xf>
    <xf borderId="0" fillId="0" fontId="13" numFmtId="164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8" fillId="0" fontId="8" numFmtId="0" xfId="0" applyAlignment="1" applyBorder="1" applyFont="1">
      <alignment horizontal="center" readingOrder="0" shrinkToFit="0" vertical="bottom" wrapText="0"/>
    </xf>
    <xf borderId="8" fillId="0" fontId="9" numFmtId="164" xfId="0" applyAlignment="1" applyBorder="1" applyFont="1" applyNumberFormat="1">
      <alignment readingOrder="0" shrinkToFit="0" vertical="bottom" wrapText="0"/>
    </xf>
    <xf borderId="8" fillId="0" fontId="38" numFmtId="0" xfId="0" applyBorder="1" applyFont="1"/>
    <xf borderId="8" fillId="0" fontId="38" numFmtId="167" xfId="0" applyAlignment="1" applyBorder="1" applyFont="1" applyNumberFormat="1">
      <alignment readingOrder="0" shrinkToFit="0" vertical="bottom" wrapText="0"/>
    </xf>
    <xf borderId="0" fillId="0" fontId="30" numFmtId="164" xfId="0" applyAlignment="1" applyFont="1" applyNumberFormat="1">
      <alignment readingOrder="0" shrinkToFit="0" vertical="center" wrapText="0"/>
    </xf>
    <xf borderId="0" fillId="24" fontId="13" numFmtId="0" xfId="0" applyFont="1"/>
    <xf borderId="0" fillId="0" fontId="30" numFmtId="0" xfId="0" applyAlignment="1" applyFont="1">
      <alignment readingOrder="0" shrinkToFit="0" vertical="center" wrapText="0"/>
    </xf>
    <xf borderId="9" fillId="0" fontId="9" numFmtId="170" xfId="0" applyAlignment="1" applyBorder="1" applyFont="1" applyNumberFormat="1">
      <alignment horizontal="left" readingOrder="0" shrinkToFit="0" vertical="bottom" wrapText="0"/>
    </xf>
    <xf borderId="0" fillId="0" fontId="13" numFmtId="0" xfId="0" applyAlignment="1" applyFont="1">
      <alignment readingOrder="0" shrinkToFit="0" vertical="center" wrapText="0"/>
    </xf>
    <xf borderId="0" fillId="0" fontId="30" numFmtId="164" xfId="0" applyAlignment="1" applyFont="1" applyNumberFormat="1">
      <alignment readingOrder="0" shrinkToFit="0" vertical="center" wrapText="0"/>
    </xf>
    <xf borderId="0" fillId="0" fontId="30" numFmtId="164" xfId="0" applyAlignment="1" applyFont="1" applyNumberFormat="1">
      <alignment shrinkToFit="0" vertical="center" wrapText="0"/>
    </xf>
    <xf borderId="0" fillId="0" fontId="30" numFmtId="0" xfId="0" applyAlignment="1" applyFont="1">
      <alignment shrinkToFit="0" vertical="center" wrapText="0"/>
    </xf>
    <xf borderId="0" fillId="0" fontId="40" numFmtId="0" xfId="0" applyAlignment="1" applyFont="1">
      <alignment readingOrder="0"/>
    </xf>
    <xf borderId="0" fillId="0" fontId="13" numFmtId="164" xfId="0" applyAlignment="1" applyFont="1" applyNumberFormat="1">
      <alignment horizontal="left" readingOrder="0"/>
    </xf>
    <xf borderId="8" fillId="0" fontId="38" numFmtId="167" xfId="0" applyAlignment="1" applyBorder="1" applyFont="1" applyNumberFormat="1">
      <alignment shrinkToFit="0" vertical="bottom" wrapText="0"/>
    </xf>
    <xf borderId="0" fillId="0" fontId="13" numFmtId="164" xfId="0" applyAlignment="1" applyFont="1" applyNumberFormat="1">
      <alignment horizontal="left"/>
    </xf>
    <xf quotePrefix="1" borderId="0" fillId="0" fontId="13" numFmtId="0" xfId="0" applyAlignment="1" applyFont="1">
      <alignment readingOrder="0"/>
    </xf>
    <xf borderId="0" fillId="0" fontId="30" numFmtId="164" xfId="0" applyAlignment="1" applyFont="1" applyNumberFormat="1">
      <alignment horizontal="left" readingOrder="0"/>
    </xf>
    <xf borderId="0" fillId="24" fontId="30" numFmtId="164" xfId="0" applyFont="1" applyNumberFormat="1"/>
    <xf borderId="0" fillId="5" fontId="15" numFmtId="2" xfId="0" applyAlignment="1" applyFont="1" applyNumberFormat="1">
      <alignment shrinkToFit="0" vertical="bottom" wrapText="0"/>
    </xf>
    <xf borderId="8" fillId="7" fontId="8" numFmtId="0" xfId="0" applyAlignment="1" applyBorder="1" applyFont="1">
      <alignment horizontal="center" readingOrder="0" shrinkToFit="0" vertical="bottom" wrapText="0"/>
    </xf>
    <xf borderId="19" fillId="4" fontId="12" numFmtId="0" xfId="0" applyAlignment="1" applyBorder="1" applyFont="1">
      <alignment horizontal="left" readingOrder="0" shrinkToFit="0" vertical="bottom" wrapText="0"/>
    </xf>
    <xf borderId="23" fillId="4" fontId="12" numFmtId="0" xfId="0" applyAlignment="1" applyBorder="1" applyFont="1">
      <alignment readingOrder="0" shrinkToFit="0" vertical="bottom" wrapText="0"/>
    </xf>
    <xf borderId="23" fillId="4" fontId="12" numFmtId="0" xfId="0" applyAlignment="1" applyBorder="1" applyFont="1">
      <alignment horizontal="right" readingOrder="0" shrinkToFit="0" vertical="bottom" wrapText="0"/>
    </xf>
    <xf borderId="23" fillId="4" fontId="12" numFmtId="164" xfId="0" applyAlignment="1" applyBorder="1" applyFont="1" applyNumberFormat="1">
      <alignment horizontal="right" readingOrder="0" shrinkToFit="0" vertical="bottom" wrapText="0"/>
    </xf>
    <xf borderId="23" fillId="4" fontId="12" numFmtId="9" xfId="0" applyAlignment="1" applyBorder="1" applyFont="1" applyNumberFormat="1">
      <alignment horizontal="right" readingOrder="0" shrinkToFit="0" vertical="bottom" wrapText="0"/>
    </xf>
    <xf borderId="20" fillId="4" fontId="12" numFmtId="0" xfId="0" applyAlignment="1" applyBorder="1" applyFont="1">
      <alignment horizontal="center" readingOrder="0" shrinkToFit="0" vertical="bottom" wrapText="0"/>
    </xf>
    <xf borderId="0" fillId="0" fontId="41" numFmtId="0" xfId="0" applyAlignment="1" applyFont="1">
      <alignment shrinkToFit="0" vertical="bottom" wrapText="0"/>
    </xf>
    <xf borderId="27" fillId="2" fontId="15" numFmtId="167" xfId="0" applyAlignment="1" applyBorder="1" applyFont="1" applyNumberFormat="1">
      <alignment readingOrder="0" shrinkToFit="0" vertical="bottom" wrapText="0"/>
    </xf>
    <xf borderId="28" fillId="6" fontId="15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4" xfId="0" applyAlignment="1" applyFont="1" applyNumberForma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3" fontId="9" numFmtId="0" xfId="0" applyFont="1"/>
    <xf borderId="8" fillId="0" fontId="9" numFmtId="0" xfId="0" applyAlignment="1" applyBorder="1" applyFont="1">
      <alignment horizontal="left" readingOrder="0" shrinkToFit="0" vertical="bottom" wrapText="0"/>
    </xf>
    <xf borderId="8" fillId="0" fontId="9" numFmtId="164" xfId="0" applyAlignment="1" applyBorder="1" applyFont="1" applyNumberFormat="1">
      <alignment horizontal="right" readingOrder="0" shrinkToFit="0" vertical="bottom" wrapText="0"/>
    </xf>
    <xf borderId="8" fillId="0" fontId="9" numFmtId="9" xfId="0" applyAlignment="1" applyBorder="1" applyFont="1" applyNumberFormat="1">
      <alignment horizontal="right" readingOrder="0" shrinkToFit="0" vertical="bottom" wrapText="0"/>
    </xf>
    <xf borderId="0" fillId="0" fontId="39" numFmtId="167" xfId="0" applyFont="1" applyNumberFormat="1"/>
    <xf borderId="0" fillId="0" fontId="39" numFmtId="0" xfId="0" applyAlignment="1" applyFont="1">
      <alignment readingOrder="0"/>
    </xf>
    <xf borderId="9" fillId="24" fontId="9" numFmtId="0" xfId="0" applyAlignment="1" applyBorder="1" applyFont="1">
      <alignment horizontal="left" readingOrder="0" shrinkToFit="0" vertical="bottom" wrapText="0"/>
    </xf>
    <xf borderId="19" fillId="26" fontId="12" numFmtId="0" xfId="0" applyAlignment="1" applyBorder="1" applyFont="1">
      <alignment horizontal="left" readingOrder="0" shrinkToFit="0" vertical="bottom" wrapText="0"/>
    </xf>
    <xf borderId="23" fillId="26" fontId="12" numFmtId="0" xfId="0" applyAlignment="1" applyBorder="1" applyFont="1">
      <alignment readingOrder="0" shrinkToFit="0" vertical="bottom" wrapText="0"/>
    </xf>
    <xf borderId="23" fillId="26" fontId="12" numFmtId="0" xfId="0" applyAlignment="1" applyBorder="1" applyFont="1">
      <alignment horizontal="right" readingOrder="0" shrinkToFit="0" vertical="bottom" wrapText="0"/>
    </xf>
    <xf borderId="23" fillId="26" fontId="12" numFmtId="164" xfId="0" applyAlignment="1" applyBorder="1" applyFont="1" applyNumberFormat="1">
      <alignment horizontal="right" readingOrder="0" shrinkToFit="0" vertical="bottom" wrapText="0"/>
    </xf>
    <xf borderId="23" fillId="26" fontId="12" numFmtId="9" xfId="0" applyAlignment="1" applyBorder="1" applyFont="1" applyNumberFormat="1">
      <alignment horizontal="right" readingOrder="0" shrinkToFit="0" vertical="bottom" wrapText="0"/>
    </xf>
    <xf borderId="20" fillId="26" fontId="12" numFmtId="0" xfId="0" applyAlignment="1" applyBorder="1" applyFont="1">
      <alignment horizontal="center" readingOrder="0" shrinkToFit="0" vertical="bottom" wrapText="0"/>
    </xf>
    <xf borderId="0" fillId="0" fontId="39" numFmtId="164" xfId="0" applyFont="1" applyNumberFormat="1"/>
    <xf borderId="0" fillId="0" fontId="39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41" numFmtId="164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28" fillId="6" fontId="15" numFmtId="167" xfId="0" applyAlignment="1" applyBorder="1" applyFont="1" applyNumberFormat="1">
      <alignment readingOrder="0" shrinkToFit="0" vertical="bottom" wrapText="0"/>
    </xf>
    <xf borderId="0" fillId="0" fontId="42" numFmtId="0" xfId="0" applyAlignment="1" applyFont="1">
      <alignment horizontal="left" readingOrder="0" shrinkToFit="0" vertical="bottom" wrapText="0"/>
    </xf>
    <xf borderId="8" fillId="7" fontId="15" numFmtId="0" xfId="0" applyAlignment="1" applyBorder="1" applyFont="1">
      <alignment horizontal="left" readingOrder="0" shrinkToFit="0" vertical="bottom" wrapText="0"/>
    </xf>
    <xf borderId="8" fillId="7" fontId="15" numFmtId="9" xfId="0" applyAlignment="1" applyBorder="1" applyFont="1" applyNumberFormat="1">
      <alignment horizontal="right" readingOrder="0" shrinkToFit="0" vertical="bottom" wrapText="0"/>
    </xf>
    <xf borderId="8" fillId="7" fontId="7" numFmtId="0" xfId="0" applyAlignment="1" applyBorder="1" applyFont="1">
      <alignment readingOrder="0" shrinkToFit="0" vertical="bottom" wrapText="0"/>
    </xf>
    <xf borderId="8" fillId="5" fontId="15" numFmtId="167" xfId="0" applyAlignment="1" applyBorder="1" applyFont="1" applyNumberFormat="1">
      <alignment readingOrder="0" shrinkToFit="0" vertical="bottom" wrapText="0"/>
    </xf>
    <xf borderId="8" fillId="7" fontId="7" numFmtId="0" xfId="0" applyAlignment="1" applyBorder="1" applyFont="1">
      <alignment shrinkToFit="0" vertical="bottom" wrapText="0"/>
    </xf>
    <xf borderId="8" fillId="0" fontId="9" numFmtId="167" xfId="0" applyAlignment="1" applyBorder="1" applyFont="1" applyNumberFormat="1">
      <alignment readingOrder="0" shrinkToFit="0" vertical="bottom" wrapText="0"/>
    </xf>
    <xf borderId="8" fillId="7" fontId="15" numFmtId="0" xfId="0" applyAlignment="1" applyBorder="1" applyFont="1">
      <alignment readingOrder="0"/>
    </xf>
    <xf borderId="11" fillId="5" fontId="15" numFmtId="167" xfId="0" applyAlignment="1" applyBorder="1" applyFont="1" applyNumberFormat="1">
      <alignment readingOrder="0" shrinkToFit="0" vertical="bottom" wrapText="0"/>
    </xf>
    <xf borderId="8" fillId="7" fontId="9" numFmtId="0" xfId="0" applyAlignment="1" applyBorder="1" applyFont="1">
      <alignment horizontal="left" readingOrder="0" shrinkToFit="0" vertical="bottom" wrapText="0"/>
    </xf>
    <xf borderId="8" fillId="7" fontId="9" numFmtId="0" xfId="0" applyAlignment="1" applyBorder="1" applyFont="1">
      <alignment horizontal="right" readingOrder="0" shrinkToFit="0" vertical="bottom" wrapText="0"/>
    </xf>
    <xf borderId="8" fillId="7" fontId="9" numFmtId="9" xfId="0" applyAlignment="1" applyBorder="1" applyFont="1" applyNumberFormat="1">
      <alignment horizontal="right" readingOrder="0" shrinkToFit="0" vertical="bottom" wrapText="0"/>
    </xf>
    <xf borderId="8" fillId="7" fontId="9" numFmtId="0" xfId="0" applyAlignment="1" applyBorder="1" applyFont="1">
      <alignment readingOrder="0" shrinkToFit="0" vertical="bottom" wrapText="0"/>
    </xf>
    <xf borderId="8" fillId="14" fontId="15" numFmtId="0" xfId="0" applyAlignment="1" applyBorder="1" applyFont="1">
      <alignment horizontal="left" readingOrder="0" shrinkToFit="0" vertical="bottom" wrapText="0"/>
    </xf>
    <xf borderId="8" fillId="14" fontId="15" numFmtId="0" xfId="0" applyAlignment="1" applyBorder="1" applyFont="1">
      <alignment readingOrder="0" shrinkToFit="0" vertical="bottom" wrapText="0"/>
    </xf>
    <xf borderId="8" fillId="14" fontId="15" numFmtId="9" xfId="0" applyAlignment="1" applyBorder="1" applyFont="1" applyNumberFormat="1">
      <alignment horizontal="right" readingOrder="0" shrinkToFit="0" vertical="bottom" wrapText="0"/>
    </xf>
    <xf borderId="8" fillId="14" fontId="43" numFmtId="0" xfId="0" applyAlignment="1" applyBorder="1" applyFont="1">
      <alignment horizontal="center" readingOrder="0" shrinkToFit="0" vertical="bottom" wrapText="0"/>
    </xf>
    <xf borderId="8" fillId="0" fontId="21" numFmtId="0" xfId="0" applyAlignment="1" applyBorder="1" applyFont="1">
      <alignment readingOrder="0"/>
    </xf>
    <xf borderId="8" fillId="0" fontId="21" numFmtId="0" xfId="0" applyAlignment="1" applyBorder="1" applyFont="1">
      <alignment horizontal="left" readingOrder="0" shrinkToFit="0" vertical="bottom" wrapText="0"/>
    </xf>
    <xf borderId="8" fillId="10" fontId="18" numFmtId="0" xfId="0" applyAlignment="1" applyBorder="1" applyFont="1">
      <alignment horizontal="right" readingOrder="0" shrinkToFit="0" vertical="bottom" wrapText="0"/>
    </xf>
    <xf borderId="8" fillId="0" fontId="21" numFmtId="0" xfId="0" applyAlignment="1" applyBorder="1" applyFont="1">
      <alignment horizontal="right" readingOrder="0" shrinkToFit="0" vertical="bottom" wrapText="0"/>
    </xf>
    <xf borderId="8" fillId="0" fontId="21" numFmtId="9" xfId="0" applyAlignment="1" applyBorder="1" applyFont="1" applyNumberFormat="1">
      <alignment horizontal="right" readingOrder="0" shrinkToFit="0" vertical="bottom" wrapText="0"/>
    </xf>
    <xf borderId="11" fillId="5" fontId="18" numFmtId="167" xfId="0" applyAlignment="1" applyBorder="1" applyFont="1" applyNumberFormat="1">
      <alignment readingOrder="0" shrinkToFit="0" vertical="bottom" wrapText="0"/>
    </xf>
    <xf borderId="8" fillId="0" fontId="21" numFmtId="0" xfId="0" applyBorder="1" applyFont="1"/>
    <xf borderId="8" fillId="21" fontId="9" numFmtId="0" xfId="0" applyAlignment="1" applyBorder="1" applyFont="1">
      <alignment readingOrder="0"/>
    </xf>
    <xf borderId="8" fillId="10" fontId="15" numFmtId="0" xfId="0" applyAlignment="1" applyBorder="1" applyFont="1">
      <alignment horizontal="right" readingOrder="0" shrinkToFit="0" vertical="bottom" wrapText="0"/>
    </xf>
    <xf borderId="8" fillId="0" fontId="9" numFmtId="0" xfId="0" applyAlignment="1" applyBorder="1" applyFont="1">
      <alignment horizontal="right" readingOrder="0" shrinkToFit="0" vertical="bottom" wrapText="0"/>
    </xf>
    <xf borderId="8" fillId="7" fontId="9" numFmtId="164" xfId="0" applyAlignment="1" applyBorder="1" applyFont="1" applyNumberFormat="1">
      <alignment horizontal="right" readingOrder="0" shrinkToFit="0" vertical="bottom" wrapText="0"/>
    </xf>
    <xf borderId="8" fillId="7" fontId="9" numFmtId="164" xfId="0" applyAlignment="1" applyBorder="1" applyFont="1" applyNumberFormat="1">
      <alignment readingOrder="0" shrinkToFit="0" vertical="bottom" wrapText="0"/>
    </xf>
    <xf borderId="8" fillId="15" fontId="7" numFmtId="0" xfId="0" applyAlignment="1" applyBorder="1" applyFont="1">
      <alignment readingOrder="0" shrinkToFit="0" vertical="bottom" wrapText="0"/>
    </xf>
    <xf borderId="11" fillId="10" fontId="15" numFmtId="0" xfId="0" applyAlignment="1" applyBorder="1" applyFont="1">
      <alignment horizontal="right" readingOrder="0" shrinkToFit="0" vertical="bottom" wrapText="0"/>
    </xf>
    <xf borderId="8" fillId="0" fontId="7" numFmtId="164" xfId="0" applyAlignment="1" applyBorder="1" applyFont="1" applyNumberFormat="1">
      <alignment readingOrder="0" shrinkToFit="0" vertical="bottom" wrapText="0"/>
    </xf>
    <xf borderId="8" fillId="5" fontId="38" numFmtId="167" xfId="0" applyBorder="1" applyFont="1" applyNumberFormat="1"/>
    <xf borderId="8" fillId="15" fontId="9" numFmtId="0" xfId="0" applyAlignment="1" applyBorder="1" applyFont="1">
      <alignment readingOrder="0" shrinkToFit="0" vertical="bottom" wrapText="0"/>
    </xf>
    <xf borderId="8" fillId="5" fontId="15" numFmtId="167" xfId="0" applyBorder="1" applyFont="1" applyNumberFormat="1"/>
    <xf borderId="8" fillId="0" fontId="7" numFmtId="167" xfId="0" applyAlignment="1" applyBorder="1" applyFont="1" applyNumberFormat="1">
      <alignment shrinkToFit="0" vertical="bottom" wrapText="0"/>
    </xf>
    <xf borderId="8" fillId="0" fontId="15" numFmtId="0" xfId="0" applyAlignment="1" applyBorder="1" applyFont="1">
      <alignment horizontal="right" readingOrder="0" shrinkToFit="0" vertical="bottom" wrapText="0"/>
    </xf>
    <xf borderId="8" fillId="10" fontId="9" numFmtId="0" xfId="0" applyAlignment="1" applyBorder="1" applyFont="1">
      <alignment horizontal="left" readingOrder="0" shrinkToFit="0" vertical="bottom" wrapText="0"/>
    </xf>
    <xf borderId="11" fillId="5" fontId="38" numFmtId="167" xfId="0" applyAlignment="1" applyBorder="1" applyFont="1" applyNumberFormat="1">
      <alignment readingOrder="0" shrinkToFit="0" vertical="bottom" wrapText="0"/>
    </xf>
    <xf borderId="8" fillId="7" fontId="7" numFmtId="164" xfId="0" applyAlignment="1" applyBorder="1" applyFont="1" applyNumberFormat="1">
      <alignment readingOrder="0" shrinkToFit="0" vertical="bottom" wrapText="0"/>
    </xf>
    <xf borderId="8" fillId="0" fontId="38" numFmtId="0" xfId="0" applyAlignment="1" applyBorder="1" applyFont="1">
      <alignment shrinkToFit="0" vertical="bottom" wrapText="0"/>
    </xf>
    <xf borderId="8" fillId="17" fontId="9" numFmtId="0" xfId="0" applyAlignment="1" applyBorder="1" applyFont="1">
      <alignment horizontal="left" readingOrder="0" shrinkToFit="0" vertical="bottom" wrapText="0"/>
    </xf>
    <xf borderId="8" fillId="0" fontId="8" numFmtId="0" xfId="0" applyAlignment="1" applyBorder="1" applyFont="1">
      <alignment horizontal="center" shrinkToFit="0" vertical="bottom" wrapText="0"/>
    </xf>
    <xf borderId="8" fillId="0" fontId="9" numFmtId="170" xfId="0" applyAlignment="1" applyBorder="1" applyFont="1" applyNumberFormat="1">
      <alignment horizontal="left" readingOrder="0" shrinkToFit="0" vertical="bottom" wrapText="0"/>
    </xf>
    <xf borderId="8" fillId="5" fontId="38" numFmtId="167" xfId="0" applyAlignment="1" applyBorder="1" applyFont="1" applyNumberFormat="1">
      <alignment readingOrder="0" shrinkToFit="0" vertical="bottom" wrapText="0"/>
    </xf>
    <xf borderId="8" fillId="3" fontId="9" numFmtId="0" xfId="0" applyAlignment="1" applyBorder="1" applyFont="1">
      <alignment horizontal="left" readingOrder="0" shrinkToFit="0" vertical="bottom" wrapText="0"/>
    </xf>
    <xf borderId="0" fillId="5" fontId="38" numFmtId="0" xfId="0" applyAlignment="1" applyFont="1">
      <alignment readingOrder="0" shrinkToFit="0" vertical="bottom" wrapText="0"/>
    </xf>
    <xf borderId="0" fillId="5" fontId="38" numFmtId="0" xfId="0" applyAlignment="1" applyFont="1">
      <alignment shrinkToFit="0" vertical="bottom" wrapText="0"/>
    </xf>
    <xf borderId="0" fillId="0" fontId="44" numFmtId="0" xfId="0" applyFont="1"/>
    <xf borderId="11" fillId="0" fontId="9" numFmtId="0" xfId="0" applyAlignment="1" applyBorder="1" applyFont="1">
      <alignment horizontal="left" readingOrder="0" shrinkToFit="0" vertical="bottom" wrapText="0"/>
    </xf>
    <xf borderId="11" fillId="0" fontId="7" numFmtId="0" xfId="0" applyAlignment="1" applyBorder="1" applyFont="1">
      <alignment readingOrder="0" shrinkToFit="0" vertical="bottom" wrapText="0"/>
    </xf>
    <xf borderId="11" fillId="15" fontId="7" numFmtId="0" xfId="0" applyAlignment="1" applyBorder="1" applyFont="1">
      <alignment readingOrder="0" shrinkToFit="0" vertical="bottom" wrapText="0"/>
    </xf>
    <xf borderId="11" fillId="0" fontId="9" numFmtId="164" xfId="0" applyAlignment="1" applyBorder="1" applyFont="1" applyNumberFormat="1">
      <alignment horizontal="right" readingOrder="0" shrinkToFit="0" vertical="bottom" wrapText="0"/>
    </xf>
    <xf borderId="11" fillId="0" fontId="9" numFmtId="9" xfId="0" applyAlignment="1" applyBorder="1" applyFont="1" applyNumberFormat="1">
      <alignment horizontal="right" readingOrder="0" shrinkToFit="0" vertical="bottom" wrapText="0"/>
    </xf>
    <xf borderId="11" fillId="0" fontId="7" numFmtId="164" xfId="0" applyAlignment="1" applyBorder="1" applyFont="1" applyNumberFormat="1">
      <alignment readingOrder="0" shrinkToFit="0" vertical="bottom" wrapText="0"/>
    </xf>
    <xf borderId="11" fillId="0" fontId="8" numFmtId="0" xfId="0" applyAlignment="1" applyBorder="1" applyFont="1">
      <alignment horizontal="center" shrinkToFit="0" vertical="bottom" wrapText="0"/>
    </xf>
    <xf borderId="29" fillId="4" fontId="12" numFmtId="0" xfId="0" applyAlignment="1" applyBorder="1" applyFont="1">
      <alignment horizontal="left" readingOrder="0" shrinkToFit="0" vertical="bottom" wrapText="0"/>
    </xf>
    <xf borderId="24" fillId="4" fontId="12" numFmtId="0" xfId="0" applyAlignment="1" applyBorder="1" applyFont="1">
      <alignment readingOrder="0" shrinkToFit="0" vertical="bottom" wrapText="0"/>
    </xf>
    <xf borderId="24" fillId="4" fontId="12" numFmtId="0" xfId="0" applyAlignment="1" applyBorder="1" applyFont="1">
      <alignment horizontal="right" readingOrder="0" shrinkToFit="0" vertical="bottom" wrapText="0"/>
    </xf>
    <xf borderId="24" fillId="4" fontId="12" numFmtId="164" xfId="0" applyAlignment="1" applyBorder="1" applyFont="1" applyNumberFormat="1">
      <alignment horizontal="right" readingOrder="0" shrinkToFit="0" vertical="bottom" wrapText="0"/>
    </xf>
    <xf borderId="24" fillId="4" fontId="12" numFmtId="9" xfId="0" applyAlignment="1" applyBorder="1" applyFont="1" applyNumberFormat="1">
      <alignment horizontal="right" readingOrder="0" shrinkToFit="0" vertical="bottom" wrapText="0"/>
    </xf>
    <xf borderId="25" fillId="4" fontId="12" numFmtId="0" xfId="0" applyAlignment="1" applyBorder="1" applyFont="1">
      <alignment horizontal="center" readingOrder="0" shrinkToFit="0" vertical="bottom" wrapText="0"/>
    </xf>
    <xf borderId="0" fillId="0" fontId="41" numFmtId="0" xfId="0" applyAlignment="1" applyFont="1">
      <alignment readingOrder="0" shrinkToFit="0" vertical="bottom" wrapText="0"/>
    </xf>
    <xf borderId="0" fillId="0" fontId="39" numFmtId="0" xfId="0" applyAlignment="1" applyFont="1">
      <alignment readingOrder="0" shrinkToFit="0" vertical="bottom" wrapText="0"/>
    </xf>
    <xf borderId="0" fillId="0" fontId="39" numFmtId="0" xfId="0" applyAlignment="1" applyFont="1">
      <alignment horizontal="right" readingOrder="0" shrinkToFit="0" vertical="bottom" wrapText="0"/>
    </xf>
    <xf borderId="0" fillId="0" fontId="39" numFmtId="164" xfId="0" applyAlignment="1" applyFont="1" applyNumberFormat="1">
      <alignment horizontal="right" readingOrder="0" shrinkToFit="0" vertical="bottom" wrapText="0"/>
    </xf>
    <xf borderId="0" fillId="0" fontId="39" numFmtId="9" xfId="0" applyAlignment="1" applyFont="1" applyNumberFormat="1">
      <alignment horizontal="right" readingOrder="0" shrinkToFit="0" vertical="bottom" wrapText="0"/>
    </xf>
    <xf borderId="18" fillId="0" fontId="39" numFmtId="0" xfId="0" applyAlignment="1" applyBorder="1" applyFont="1">
      <alignment horizontal="center" readingOrder="0" shrinkToFit="0" vertical="bottom" wrapText="0"/>
    </xf>
    <xf borderId="27" fillId="2" fontId="15" numFmtId="0" xfId="0" applyAlignment="1" applyBorder="1" applyFont="1">
      <alignment readingOrder="0" shrinkToFit="0" vertical="bottom" wrapText="0"/>
    </xf>
    <xf borderId="27" fillId="2" fontId="15" numFmtId="164" xfId="0" applyAlignment="1" applyBorder="1" applyFont="1" applyNumberFormat="1">
      <alignment readingOrder="0" shrinkToFit="0" vertical="bottom" wrapText="0"/>
    </xf>
    <xf borderId="30" fillId="0" fontId="39" numFmtId="0" xfId="0" applyAlignment="1" applyBorder="1" applyFont="1">
      <alignment horizontal="left" readingOrder="0" shrinkToFit="0" vertical="bottom" wrapText="0"/>
    </xf>
    <xf borderId="27" fillId="6" fontId="15" numFmtId="2" xfId="0" applyAlignment="1" applyBorder="1" applyFont="1" applyNumberFormat="1">
      <alignment readingOrder="0" shrinkToFit="0" vertical="bottom" wrapText="0"/>
    </xf>
    <xf borderId="0" fillId="3" fontId="9" numFmtId="164" xfId="0" applyFont="1" applyNumberFormat="1"/>
    <xf borderId="26" fillId="0" fontId="39" numFmtId="0" xfId="0" applyAlignment="1" applyBorder="1" applyFont="1">
      <alignment horizontal="left" readingOrder="0" shrinkToFit="0" vertical="bottom" wrapText="0"/>
    </xf>
    <xf borderId="16" fillId="0" fontId="39" numFmtId="0" xfId="0" applyAlignment="1" applyBorder="1" applyFont="1">
      <alignment readingOrder="0" shrinkToFit="0" vertical="bottom" wrapText="0"/>
    </xf>
    <xf borderId="16" fillId="0" fontId="39" numFmtId="0" xfId="0" applyAlignment="1" applyBorder="1" applyFont="1">
      <alignment horizontal="right" readingOrder="0" shrinkToFit="0" vertical="bottom" wrapText="0"/>
    </xf>
    <xf borderId="16" fillId="0" fontId="39" numFmtId="164" xfId="0" applyAlignment="1" applyBorder="1" applyFont="1" applyNumberFormat="1">
      <alignment horizontal="right" readingOrder="0" shrinkToFit="0" vertical="bottom" wrapText="0"/>
    </xf>
    <xf borderId="16" fillId="0" fontId="39" numFmtId="9" xfId="0" applyAlignment="1" applyBorder="1" applyFont="1" applyNumberFormat="1">
      <alignment horizontal="right" readingOrder="0" shrinkToFit="0" vertical="bottom" wrapText="0"/>
    </xf>
    <xf borderId="10" fillId="0" fontId="39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readingOrder="0" shrinkToFit="0" vertical="bottom" wrapText="0"/>
    </xf>
    <xf borderId="9" fillId="15" fontId="7" numFmtId="0" xfId="0" applyAlignment="1" applyBorder="1" applyFont="1">
      <alignment readingOrder="0" shrinkToFit="0" vertical="bottom" wrapText="0"/>
    </xf>
    <xf borderId="9" fillId="10" fontId="15" numFmtId="0" xfId="0" applyAlignment="1" applyBorder="1" applyFont="1">
      <alignment horizontal="right" readingOrder="0" shrinkToFit="0" vertical="bottom" wrapText="0"/>
    </xf>
    <xf borderId="9" fillId="0" fontId="9" numFmtId="164" xfId="0" applyAlignment="1" applyBorder="1" applyFont="1" applyNumberFormat="1">
      <alignment horizontal="right" readingOrder="0" shrinkToFit="0" vertical="bottom" wrapText="0"/>
    </xf>
    <xf borderId="9" fillId="0" fontId="9" numFmtId="9" xfId="0" applyAlignment="1" applyBorder="1" applyFont="1" applyNumberFormat="1">
      <alignment horizontal="right" readingOrder="0" shrinkToFit="0" vertical="bottom" wrapText="0"/>
    </xf>
    <xf borderId="9" fillId="0" fontId="7" numFmtId="164" xfId="0" applyAlignment="1" applyBorder="1" applyFont="1" applyNumberFormat="1">
      <alignment readingOrder="0" shrinkToFit="0" vertical="bottom" wrapText="0"/>
    </xf>
    <xf borderId="9" fillId="0" fontId="7" numFmtId="0" xfId="0" applyAlignment="1" applyBorder="1" applyFont="1">
      <alignment horizontal="center" readingOrder="0" shrinkToFit="0" vertical="bottom" wrapText="0"/>
    </xf>
    <xf borderId="0" fillId="5" fontId="15" numFmtId="167" xfId="0" applyAlignment="1" applyFont="1" applyNumberFormat="1">
      <alignment readingOrder="0" shrinkToFit="0" vertical="bottom" wrapText="0"/>
    </xf>
    <xf borderId="0" fillId="0" fontId="9" numFmtId="167" xfId="0" applyAlignment="1" applyFont="1" applyNumberFormat="1">
      <alignment readingOrder="0" shrinkToFit="0" vertical="bottom" wrapText="0"/>
    </xf>
    <xf borderId="8" fillId="0" fontId="9" numFmtId="0" xfId="0" applyAlignment="1" applyBorder="1" applyFont="1">
      <alignment shrinkToFit="0" vertical="bottom" wrapText="0"/>
    </xf>
    <xf borderId="0" fillId="0" fontId="39" numFmtId="164" xfId="0" applyAlignment="1" applyFont="1" applyNumberFormat="1">
      <alignment readingOrder="0" shrinkToFit="0" vertical="bottom" wrapText="0"/>
    </xf>
    <xf borderId="27" fillId="5" fontId="15" numFmtId="0" xfId="0" applyAlignment="1" applyBorder="1" applyFont="1">
      <alignment readingOrder="0" shrinkToFit="0" vertical="bottom" wrapText="0"/>
    </xf>
    <xf borderId="0" fillId="0" fontId="7" numFmtId="164" xfId="0" applyAlignment="1" applyFont="1" applyNumberFormat="1">
      <alignment shrinkToFit="0" vertical="bottom" wrapText="0"/>
    </xf>
    <xf borderId="27" fillId="6" fontId="15" numFmtId="0" xfId="0" applyAlignment="1" applyBorder="1" applyFont="1">
      <alignment readingOrder="0" shrinkToFit="0" vertical="bottom" wrapText="0"/>
    </xf>
    <xf borderId="0" fillId="0" fontId="43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8" fillId="7" fontId="43" numFmtId="0" xfId="0" applyAlignment="1" applyBorder="1" applyFont="1">
      <alignment readingOrder="0" shrinkToFit="0" vertical="bottom" wrapText="0"/>
    </xf>
    <xf borderId="8" fillId="0" fontId="9" numFmtId="167" xfId="0" applyBorder="1" applyFont="1" applyNumberFormat="1"/>
    <xf borderId="9" fillId="7" fontId="15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shrinkToFit="0" vertical="bottom" wrapText="0"/>
    </xf>
    <xf borderId="9" fillId="7" fontId="17" numFmtId="0" xfId="0" applyAlignment="1" applyBorder="1" applyFont="1">
      <alignment vertical="bottom"/>
    </xf>
    <xf borderId="10" fillId="7" fontId="17" numFmtId="0" xfId="0" applyAlignment="1" applyBorder="1" applyFont="1">
      <alignment vertical="bottom"/>
    </xf>
    <xf borderId="10" fillId="7" fontId="17" numFmtId="0" xfId="0" applyAlignment="1" applyBorder="1" applyFont="1">
      <alignment readingOrder="0" vertical="bottom"/>
    </xf>
    <xf borderId="8" fillId="7" fontId="22" numFmtId="0" xfId="0" applyAlignment="1" applyBorder="1" applyFont="1">
      <alignment horizontal="right" readingOrder="0" vertical="bottom"/>
    </xf>
    <xf borderId="10" fillId="7" fontId="17" numFmtId="0" xfId="0" applyAlignment="1" applyBorder="1" applyFont="1">
      <alignment horizontal="right" vertical="bottom"/>
    </xf>
    <xf borderId="10" fillId="7" fontId="17" numFmtId="9" xfId="0" applyAlignment="1" applyBorder="1" applyFont="1" applyNumberFormat="1">
      <alignment horizontal="right" readingOrder="0" vertical="bottom"/>
    </xf>
    <xf borderId="8" fillId="7" fontId="17" numFmtId="0" xfId="0" applyAlignment="1" applyBorder="1" applyFont="1">
      <alignment horizontal="center" readingOrder="0" vertical="bottom"/>
    </xf>
    <xf borderId="8" fillId="7" fontId="17" numFmtId="0" xfId="0" applyAlignment="1" applyBorder="1" applyFont="1">
      <alignment horizontal="right" readingOrder="0" vertical="bottom"/>
    </xf>
    <xf borderId="10" fillId="7" fontId="17" numFmtId="9" xfId="0" applyAlignment="1" applyBorder="1" applyFont="1" applyNumberFormat="1">
      <alignment vertical="bottom"/>
    </xf>
    <xf borderId="8" fillId="7" fontId="17" numFmtId="0" xfId="0" applyAlignment="1" applyBorder="1" applyFont="1">
      <alignment horizontal="center" vertical="bottom"/>
    </xf>
    <xf borderId="8" fillId="7" fontId="9" numFmtId="0" xfId="0" applyAlignment="1" applyBorder="1" applyFont="1">
      <alignment readingOrder="0"/>
    </xf>
    <xf borderId="0" fillId="0" fontId="17" numFmtId="0" xfId="0" applyAlignment="1" applyFont="1">
      <alignment vertical="bottom"/>
    </xf>
    <xf borderId="0" fillId="0" fontId="45" numFmtId="0" xfId="0" applyAlignment="1" applyFont="1">
      <alignment readingOrder="0" vertical="bottom"/>
    </xf>
    <xf borderId="0" fillId="0" fontId="45" numFmtId="0" xfId="0" applyAlignment="1" applyFont="1">
      <alignment vertical="bottom"/>
    </xf>
    <xf borderId="9" fillId="0" fontId="17" numFmtId="0" xfId="0" applyAlignment="1" applyBorder="1" applyFont="1">
      <alignment vertical="bottom"/>
    </xf>
    <xf borderId="10" fillId="0" fontId="17" numFmtId="0" xfId="0" applyAlignment="1" applyBorder="1" applyFont="1">
      <alignment vertical="bottom"/>
    </xf>
    <xf borderId="8" fillId="5" fontId="22" numFmtId="0" xfId="0" applyAlignment="1" applyBorder="1" applyFont="1">
      <alignment horizontal="right" readingOrder="0" vertical="bottom"/>
    </xf>
    <xf borderId="10" fillId="0" fontId="35" numFmtId="0" xfId="0" applyAlignment="1" applyBorder="1" applyFont="1">
      <alignment horizontal="right" vertical="bottom"/>
    </xf>
    <xf borderId="10" fillId="0" fontId="35" numFmtId="9" xfId="0" applyAlignment="1" applyBorder="1" applyFont="1" applyNumberFormat="1">
      <alignment horizontal="right" vertical="bottom"/>
    </xf>
    <xf borderId="8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17" numFmtId="167" xfId="0" applyAlignment="1" applyFont="1" applyNumberFormat="1">
      <alignment vertical="bottom"/>
    </xf>
    <xf borderId="8" fillId="0" fontId="17" numFmtId="0" xfId="0" applyAlignment="1" applyBorder="1" applyFont="1">
      <alignment horizontal="right" readingOrder="0" vertical="bottom"/>
    </xf>
    <xf borderId="10" fillId="0" fontId="35" numFmtId="0" xfId="0" applyAlignment="1" applyBorder="1" applyFont="1">
      <alignment vertical="bottom"/>
    </xf>
    <xf borderId="10" fillId="0" fontId="35" numFmtId="9" xfId="0" applyAlignment="1" applyBorder="1" applyFont="1" applyNumberFormat="1">
      <alignment vertical="bottom"/>
    </xf>
    <xf borderId="9" fillId="28" fontId="9" numFmtId="0" xfId="0" applyAlignment="1" applyBorder="1" applyFill="1" applyFont="1">
      <alignment horizontal="left" readingOrder="0" shrinkToFit="0" vertical="bottom" wrapText="0"/>
    </xf>
    <xf borderId="20" fillId="0" fontId="9" numFmtId="0" xfId="0" applyAlignment="1" applyBorder="1" applyFont="1">
      <alignment readingOrder="0" shrinkToFit="0" vertical="bottom" wrapText="0"/>
    </xf>
    <xf borderId="20" fillId="0" fontId="9" numFmtId="0" xfId="0" applyAlignment="1" applyBorder="1" applyFont="1">
      <alignment horizontal="right" readingOrder="0" shrinkToFit="0" vertical="bottom" wrapText="0"/>
    </xf>
    <xf borderId="20" fillId="0" fontId="9" numFmtId="9" xfId="0" applyAlignment="1" applyBorder="1" applyFont="1" applyNumberFormat="1">
      <alignment horizontal="right" readingOrder="0" shrinkToFit="0" vertical="bottom" wrapText="0"/>
    </xf>
    <xf borderId="23" fillId="13" fontId="46" numFmtId="0" xfId="0" applyAlignment="1" applyBorder="1" applyFont="1">
      <alignment readingOrder="0" shrinkToFit="0" vertical="bottom" wrapText="0"/>
    </xf>
    <xf borderId="20" fillId="0" fontId="9" numFmtId="164" xfId="0" applyAlignment="1" applyBorder="1" applyFont="1" applyNumberFormat="1">
      <alignment horizontal="right" readingOrder="0" shrinkToFit="0" vertical="bottom" wrapText="0"/>
    </xf>
    <xf borderId="20" fillId="0" fontId="9" numFmtId="164" xfId="0" applyAlignment="1" applyBorder="1" applyFont="1" applyNumberFormat="1">
      <alignment readingOrder="0" shrinkToFit="0" vertical="bottom" wrapText="0"/>
    </xf>
    <xf borderId="8" fillId="14" fontId="9" numFmtId="0" xfId="0" applyAlignment="1" applyBorder="1" applyFont="1">
      <alignment horizontal="left" readingOrder="0" shrinkToFit="0" vertical="bottom" wrapText="0"/>
    </xf>
    <xf borderId="8" fillId="14" fontId="7" numFmtId="0" xfId="0" applyAlignment="1" applyBorder="1" applyFont="1">
      <alignment horizontal="center" readingOrder="0" shrinkToFit="0" vertical="bottom" wrapText="0"/>
    </xf>
    <xf borderId="11" fillId="5" fontId="15" numFmtId="167" xfId="0" applyBorder="1" applyFont="1" applyNumberFormat="1"/>
    <xf borderId="9" fillId="5" fontId="15" numFmtId="167" xfId="0" applyBorder="1" applyFont="1" applyNumberFormat="1"/>
    <xf borderId="8" fillId="7" fontId="13" numFmtId="0" xfId="0" applyAlignment="1" applyBorder="1" applyFont="1">
      <alignment horizontal="center" readingOrder="0"/>
    </xf>
    <xf borderId="8" fillId="14" fontId="9" numFmtId="0" xfId="0" applyBorder="1" applyFont="1"/>
    <xf borderId="0" fillId="0" fontId="14" numFmtId="0" xfId="0" applyFont="1"/>
    <xf borderId="10" fillId="0" fontId="29" numFmtId="164" xfId="0" applyAlignment="1" applyBorder="1" applyFont="1" applyNumberFormat="1">
      <alignment horizontal="right" readingOrder="0" shrinkToFit="0" vertical="bottom" wrapText="0"/>
    </xf>
    <xf borderId="10" fillId="0" fontId="29" numFmtId="164" xfId="0" applyAlignment="1" applyBorder="1" applyFont="1" applyNumberFormat="1">
      <alignment readingOrder="0" shrinkToFit="0" vertical="bottom" wrapText="0"/>
    </xf>
    <xf borderId="0" fillId="0" fontId="40" numFmtId="0" xfId="0" applyFont="1"/>
    <xf borderId="0" fillId="0" fontId="38" numFmtId="0" xfId="0" applyFont="1"/>
    <xf borderId="0" fillId="5" fontId="38" numFmtId="167" xfId="0" applyFont="1" applyNumberFormat="1"/>
    <xf borderId="20" fillId="7" fontId="9" numFmtId="0" xfId="0" applyAlignment="1" applyBorder="1" applyFont="1">
      <alignment readingOrder="0" shrinkToFit="0" vertical="bottom" wrapText="0"/>
    </xf>
    <xf borderId="20" fillId="7" fontId="9" numFmtId="164" xfId="0" applyAlignment="1" applyBorder="1" applyFont="1" applyNumberFormat="1">
      <alignment horizontal="right" readingOrder="0" shrinkToFit="0" vertical="bottom" wrapText="0"/>
    </xf>
    <xf borderId="20" fillId="7" fontId="9" numFmtId="9" xfId="0" applyAlignment="1" applyBorder="1" applyFont="1" applyNumberFormat="1">
      <alignment horizontal="right" readingOrder="0" shrinkToFit="0" vertical="bottom" wrapText="0"/>
    </xf>
    <xf borderId="20" fillId="7" fontId="9" numFmtId="164" xfId="0" applyAlignment="1" applyBorder="1" applyFont="1" applyNumberFormat="1">
      <alignment readingOrder="0" shrinkToFit="0" vertical="bottom" wrapText="0"/>
    </xf>
    <xf borderId="9" fillId="7" fontId="9" numFmtId="0" xfId="0" applyAlignment="1" applyBorder="1" applyFont="1">
      <alignment readingOrder="0" shrinkToFit="0" vertical="bottom" wrapText="0"/>
    </xf>
    <xf borderId="0" fillId="5" fontId="15" numFmtId="167" xfId="0" applyFont="1" applyNumberFormat="1"/>
    <xf borderId="9" fillId="14" fontId="9" numFmtId="0" xfId="0" applyAlignment="1" applyBorder="1" applyFont="1">
      <alignment readingOrder="0" shrinkToFit="0" vertical="bottom" wrapText="0"/>
    </xf>
    <xf borderId="8" fillId="0" fontId="9" numFmtId="167" xfId="0" applyAlignment="1" applyBorder="1" applyFont="1" applyNumberFormat="1">
      <alignment shrinkToFit="0" vertical="bottom" wrapText="0"/>
    </xf>
    <xf borderId="8" fillId="24" fontId="7" numFmtId="167" xfId="0" applyAlignment="1" applyBorder="1" applyFont="1" applyNumberFormat="1">
      <alignment shrinkToFit="0" vertical="bottom" wrapText="0"/>
    </xf>
    <xf borderId="8" fillId="0" fontId="40" numFmtId="0" xfId="0" applyBorder="1" applyFont="1"/>
    <xf borderId="0" fillId="17" fontId="14" numFmtId="9" xfId="0" applyAlignment="1" applyFont="1" applyNumberFormat="1">
      <alignment readingOrder="0"/>
    </xf>
    <xf borderId="0" fillId="0" fontId="38" numFmtId="167" xfId="0" applyAlignment="1" applyFont="1" applyNumberFormat="1">
      <alignment shrinkToFit="0" vertical="bottom" wrapText="0"/>
    </xf>
    <xf borderId="8" fillId="10" fontId="16" numFmtId="0" xfId="0" applyAlignment="1" applyBorder="1" applyFont="1">
      <alignment horizontal="right" readingOrder="0" shrinkToFit="0" vertical="bottom" wrapText="0"/>
    </xf>
    <xf borderId="0" fillId="0" fontId="46" numFmtId="164" xfId="0" applyAlignment="1" applyFont="1" applyNumberFormat="1">
      <alignment shrinkToFit="0" vertical="bottom" wrapText="0"/>
    </xf>
    <xf borderId="0" fillId="0" fontId="46" numFmtId="0" xfId="0" applyAlignment="1" applyFont="1">
      <alignment shrinkToFit="0" vertical="bottom" wrapText="0"/>
    </xf>
    <xf borderId="27" fillId="6" fontId="15" numFmtId="1" xfId="0" applyAlignment="1" applyBorder="1" applyFont="1" applyNumberFormat="1">
      <alignment readingOrder="0" shrinkToFit="0" vertical="bottom" wrapText="0"/>
    </xf>
    <xf borderId="28" fillId="6" fontId="15" numFmtId="1" xfId="0" applyAlignment="1" applyBorder="1" applyFont="1" applyNumberFormat="1">
      <alignment readingOrder="0" shrinkToFit="0" vertical="bottom" wrapText="0"/>
    </xf>
    <xf borderId="0" fillId="0" fontId="39" numFmtId="0" xfId="0" applyFont="1"/>
    <xf borderId="0" fillId="0" fontId="39" numFmtId="1" xfId="0" applyFont="1" applyNumberFormat="1"/>
    <xf borderId="9" fillId="3" fontId="9" numFmtId="170" xfId="0" applyAlignment="1" applyBorder="1" applyFont="1" applyNumberFormat="1">
      <alignment horizontal="left" readingOrder="0" shrinkToFit="0" vertical="bottom" wrapText="0"/>
    </xf>
    <xf borderId="9" fillId="24" fontId="9" numFmtId="170" xfId="0" applyAlignment="1" applyBorder="1" applyFont="1" applyNumberFormat="1">
      <alignment horizontal="left" readingOrder="0" shrinkToFit="0" vertical="bottom" wrapText="0"/>
    </xf>
    <xf borderId="8" fillId="24" fontId="9" numFmtId="170" xfId="0" applyAlignment="1" applyBorder="1" applyFont="1" applyNumberFormat="1">
      <alignment horizontal="left" readingOrder="0" shrinkToFit="0" vertical="bottom" wrapText="0"/>
    </xf>
    <xf borderId="8" fillId="3" fontId="15" numFmtId="0" xfId="0" applyBorder="1" applyFont="1"/>
    <xf borderId="0" fillId="0" fontId="7" numFmtId="167" xfId="0" applyAlignment="1" applyFont="1" applyNumberForma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/>
    </xf>
    <xf borderId="0" fillId="4" fontId="12" numFmtId="0" xfId="0" applyAlignment="1" applyFont="1">
      <alignment readingOrder="0" shrinkToFit="0" vertical="bottom" wrapText="0"/>
    </xf>
    <xf borderId="0" fillId="4" fontId="12" numFmtId="164" xfId="0" applyAlignment="1" applyFont="1" applyNumberFormat="1">
      <alignment shrinkToFit="0" vertical="bottom" wrapText="0"/>
    </xf>
    <xf borderId="0" fillId="4" fontId="12" numFmtId="0" xfId="0" applyAlignment="1" applyFont="1">
      <alignment shrinkToFit="0" vertical="bottom" wrapText="0"/>
    </xf>
    <xf borderId="0" fillId="0" fontId="9" numFmtId="164" xfId="0" applyFont="1" applyNumberFormat="1"/>
    <xf borderId="19" fillId="2" fontId="15" numFmtId="164" xfId="0" applyAlignment="1" applyBorder="1" applyFont="1" applyNumberFormat="1">
      <alignment readingOrder="0" shrinkToFit="0" vertical="bottom" wrapText="0"/>
    </xf>
    <xf borderId="23" fillId="0" fontId="3" numFmtId="0" xfId="0" applyBorder="1" applyFont="1"/>
    <xf borderId="26" fillId="0" fontId="39" numFmtId="164" xfId="0" applyAlignment="1" applyBorder="1" applyFont="1" applyNumberFormat="1">
      <alignment horizontal="left" readingOrder="0" shrinkToFit="0" wrapText="0"/>
    </xf>
    <xf borderId="16" fillId="0" fontId="3" numFmtId="0" xfId="0" applyBorder="1" applyFont="1"/>
    <xf borderId="10" fillId="0" fontId="3" numFmtId="0" xfId="0" applyBorder="1" applyFont="1"/>
    <xf borderId="0" fillId="0" fontId="7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9" numFmtId="9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/>
    </xf>
    <xf borderId="0" fillId="0" fontId="33" numFmtId="0" xfId="0" applyFont="1"/>
    <xf borderId="0" fillId="0" fontId="9" numFmtId="0" xfId="0" applyAlignment="1" applyFont="1">
      <alignment horizontal="center" readingOrder="0"/>
    </xf>
    <xf borderId="29" fillId="2" fontId="12" numFmtId="164" xfId="0" applyAlignment="1" applyBorder="1" applyFont="1" applyNumberFormat="1">
      <alignment readingOrder="0" shrinkToFit="0" vertical="bottom" wrapText="0"/>
    </xf>
    <xf borderId="0" fillId="0" fontId="9" numFmtId="164" xfId="0" applyAlignment="1" applyFont="1" applyNumberFormat="1">
      <alignment shrinkToFit="0" vertical="bottom" wrapText="0"/>
    </xf>
    <xf borderId="19" fillId="0" fontId="9" numFmtId="164" xfId="0" applyAlignment="1" applyBorder="1" applyFont="1" applyNumberFormat="1">
      <alignment readingOrder="0"/>
    </xf>
    <xf borderId="8" fillId="15" fontId="47" numFmtId="0" xfId="0" applyAlignment="1" applyBorder="1" applyFont="1">
      <alignment horizontal="right" readingOrder="0" shrinkToFit="0" vertical="bottom" wrapText="0"/>
    </xf>
    <xf borderId="20" fillId="15" fontId="47" numFmtId="0" xfId="0" applyAlignment="1" applyBorder="1" applyFont="1">
      <alignment horizontal="right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8" fillId="0" fontId="9" numFmtId="164" xfId="0" applyAlignment="1" applyBorder="1" applyFont="1" applyNumberFormat="1">
      <alignment shrinkToFit="0" vertical="bottom" wrapText="0"/>
    </xf>
    <xf borderId="27" fillId="6" fontId="15" numFmtId="164" xfId="0" applyAlignment="1" applyBorder="1" applyFont="1" applyNumberFormat="1">
      <alignment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9" numFmtId="0" xfId="0" applyAlignment="1" applyFont="1">
      <alignment horizontal="left" readingOrder="0"/>
    </xf>
    <xf borderId="19" fillId="2" fontId="48" numFmtId="0" xfId="0" applyAlignment="1" applyBorder="1" applyFont="1">
      <alignment readingOrder="0"/>
    </xf>
    <xf borderId="20" fillId="2" fontId="48" numFmtId="0" xfId="0" applyBorder="1" applyFont="1"/>
    <xf borderId="19" fillId="0" fontId="9" numFmtId="0" xfId="0" applyAlignment="1" applyBorder="1" applyFont="1">
      <alignment readingOrder="0"/>
    </xf>
    <xf borderId="20" fillId="0" fontId="9" numFmtId="164" xfId="0" applyBorder="1" applyFont="1" applyNumberFormat="1"/>
    <xf borderId="8" fillId="0" fontId="9" numFmtId="164" xfId="0" applyBorder="1" applyFont="1" applyNumberFormat="1"/>
    <xf borderId="8" fillId="0" fontId="39" numFmtId="164" xfId="0" applyBorder="1" applyFont="1" applyNumberFormat="1"/>
    <xf borderId="8" fillId="0" fontId="9" numFmtId="164" xfId="0" applyAlignment="1" applyBorder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E26B09"/>
          <bgColor rgb="FFE26B0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7DAC1"/>
          <bgColor rgb="FFF7DAC1"/>
        </patternFill>
      </fill>
      <border/>
    </dxf>
    <dxf>
      <border>
        <left style="thin">
          <color rgb="FFE26B09"/>
        </left>
        <right style="thin">
          <color rgb="FFE26B09"/>
        </right>
        <top style="thin">
          <color rgb="FFE26B09"/>
        </top>
        <bottom style="thin">
          <color rgb="FFE26B09"/>
        </bottom>
      </border>
    </dxf>
    <dxf>
      <font>
        <color theme="0"/>
      </font>
      <fill>
        <patternFill patternType="solid">
          <fgColor rgb="FF006100"/>
          <bgColor rgb="FF006100"/>
        </patternFill>
      </fill>
      <border/>
    </dxf>
    <dxf>
      <font>
        <color rgb="FFFFC7CE"/>
      </font>
      <fill>
        <patternFill patternType="solid">
          <fgColor rgb="FF9C0006"/>
          <bgColor rgb="FF9C0006"/>
        </patternFill>
      </fill>
      <border/>
    </dxf>
  </dxfs>
  <tableStyles count="1">
    <tableStyle count="5" pivot="0" name="PRESUPUESTO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Normativo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'METAS VTAS Y OCS'!$B$4</c:f>
            </c:strRef>
          </c:tx>
          <c:spPr>
            <a:ln cmpd="sng">
              <a:solidFill>
                <a:srgbClr val="35685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'METAS VTAS Y OCS'!$C$3:$N$3</c:f>
            </c:strRef>
          </c:cat>
          <c:val>
            <c:numRef>
              <c:f>'METAS VTAS Y OCS'!$C$4:$N$4</c:f>
              <c:numCache/>
            </c:numRef>
          </c:val>
          <c:smooth val="0"/>
        </c:ser>
        <c:ser>
          <c:idx val="1"/>
          <c:order val="1"/>
          <c:tx>
            <c:strRef>
              <c:f>'METAS VTAS Y OCS'!$B$5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'METAS VTAS Y OCS'!$C$3:$N$3</c:f>
            </c:strRef>
          </c:cat>
          <c:val>
            <c:numRef>
              <c:f>'METAS VTAS Y OCS'!$C$5:$N$5</c:f>
              <c:numCache/>
            </c:numRef>
          </c:val>
          <c:smooth val="0"/>
        </c:ser>
        <c:axId val="1845330472"/>
        <c:axId val="2004587830"/>
      </c:lineChart>
      <c:catAx>
        <c:axId val="1845330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587830"/>
      </c:catAx>
      <c:valAx>
        <c:axId val="2004587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330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SCADAS Y SAC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'METAS VTAS Y OCS'!$B$10</c:f>
            </c:strRef>
          </c:tx>
          <c:spPr>
            <a:ln cmpd="sng">
              <a:solidFill>
                <a:srgbClr val="35685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'METAS VTAS Y OCS'!$C$9:$N$9</c:f>
            </c:strRef>
          </c:cat>
          <c:val>
            <c:numRef>
              <c:f>'METAS VTAS Y OCS'!$C$10:$N$10</c:f>
              <c:numCache/>
            </c:numRef>
          </c:val>
          <c:smooth val="0"/>
        </c:ser>
        <c:ser>
          <c:idx val="1"/>
          <c:order val="1"/>
          <c:tx>
            <c:strRef>
              <c:f>'METAS VTAS Y OCS'!$B$11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'METAS VTAS Y OCS'!$C$9:$N$9</c:f>
            </c:strRef>
          </c:cat>
          <c:val>
            <c:numRef>
              <c:f>'METAS VTAS Y OCS'!$C$11:$N$11</c:f>
              <c:numCache/>
            </c:numRef>
          </c:val>
          <c:smooth val="0"/>
        </c:ser>
        <c:axId val="1349229902"/>
        <c:axId val="954429300"/>
      </c:lineChart>
      <c:catAx>
        <c:axId val="1349229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429300"/>
      </c:catAx>
      <c:valAx>
        <c:axId val="954429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229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PAC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'METAS VTAS Y OCS'!$B$16</c:f>
            </c:strRef>
          </c:tx>
          <c:spPr>
            <a:ln cmpd="sng">
              <a:solidFill>
                <a:srgbClr val="35685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'METAS VTAS Y OCS'!$C$15:$N$15</c:f>
            </c:strRef>
          </c:cat>
          <c:val>
            <c:numRef>
              <c:f>'METAS VTAS Y OCS'!$C$16:$N$16</c:f>
              <c:numCache/>
            </c:numRef>
          </c:val>
          <c:smooth val="0"/>
        </c:ser>
        <c:ser>
          <c:idx val="1"/>
          <c:order val="1"/>
          <c:tx>
            <c:strRef>
              <c:f>'METAS VTAS Y OCS'!$B$17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'METAS VTAS Y OCS'!$C$15:$N$15</c:f>
            </c:strRef>
          </c:cat>
          <c:val>
            <c:numRef>
              <c:f>'METAS VTAS Y OCS'!$C$17:$N$17</c:f>
              <c:numCache/>
            </c:numRef>
          </c:val>
          <c:smooth val="0"/>
        </c:ser>
        <c:axId val="1249999422"/>
        <c:axId val="1325096037"/>
      </c:lineChart>
      <c:catAx>
        <c:axId val="1249999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096037"/>
      </c:catAx>
      <c:valAx>
        <c:axId val="1325096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9999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Booking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'METAS VTAS Y OCS'!$B$39</c:f>
            </c:strRef>
          </c:tx>
          <c:spPr>
            <a:ln cmpd="sng">
              <a:solidFill>
                <a:srgbClr val="356854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'METAS VTAS Y OCS'!$C$38:$N$38</c:f>
            </c:strRef>
          </c:cat>
          <c:val>
            <c:numRef>
              <c:f>'METAS VTAS Y OCS'!$C$39:$N$39</c:f>
              <c:numCache/>
            </c:numRef>
          </c:val>
          <c:smooth val="0"/>
        </c:ser>
        <c:ser>
          <c:idx val="1"/>
          <c:order val="1"/>
          <c:tx>
            <c:strRef>
              <c:f>'METAS VTAS Y OCS'!$B$40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'METAS VTAS Y OCS'!$C$38:$N$38</c:f>
            </c:strRef>
          </c:cat>
          <c:val>
            <c:numRef>
              <c:f>'METAS VTAS Y OCS'!$C$40:$N$40</c:f>
              <c:numCache/>
            </c:numRef>
          </c:val>
          <c:smooth val="0"/>
        </c:ser>
        <c:axId val="1868864166"/>
        <c:axId val="97506626"/>
      </c:lineChart>
      <c:catAx>
        <c:axId val="1868864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06626"/>
      </c:catAx>
      <c:valAx>
        <c:axId val="97506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864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19</xdr:row>
      <xdr:rowOff>180975</xdr:rowOff>
    </xdr:from>
    <xdr:ext cx="4867275" cy="30099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428625</xdr:colOff>
      <xdr:row>20</xdr:row>
      <xdr:rowOff>9525</xdr:rowOff>
    </xdr:from>
    <xdr:ext cx="4867275" cy="30099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885825</xdr:colOff>
      <xdr:row>20</xdr:row>
      <xdr:rowOff>19050</xdr:rowOff>
    </xdr:from>
    <xdr:ext cx="4867275" cy="30099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180975</xdr:colOff>
      <xdr:row>43</xdr:row>
      <xdr:rowOff>85725</xdr:rowOff>
    </xdr:from>
    <xdr:ext cx="15078075" cy="34290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419100</xdr:colOff>
      <xdr:row>4</xdr:row>
      <xdr:rowOff>219075</xdr:rowOff>
    </xdr:from>
    <xdr:ext cx="8839200" cy="3533775"/>
    <xdr:pic>
      <xdr:nvPicPr>
        <xdr:cNvPr id="189430973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4:J30" displayName="Presupuesto_Comercial" name="Presupuesto_Comercial" id="1">
  <tableColumns count="9">
    <tableColumn name="Código" id="1"/>
    <tableColumn name="Ítem" id="2"/>
    <tableColumn name="Descripción" id="3"/>
    <tableColumn totalsRowFunction="custom" name="Presupuesto Inicial" id="4"/>
    <tableColumn totalsRowFunction="custom" name="Reasignado en Junio" id="5"/>
    <tableColumn totalsRowFunction="custom" name="Reasignación Final" id="6"/>
    <tableColumn totalsRowFunction="custom" name="Real a Noviembre" id="7"/>
    <tableColumn totalsRowFunction="custom" name="Saldo" id="8"/>
    <tableColumn name="Presupuesto 2026" id="9"/>
  </tableColumns>
  <tableStyleInfo name="PRESUPUES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7.0"/>
    <col customWidth="1" min="3" max="8" width="6.5"/>
    <col customWidth="1" min="10" max="11" width="6.5"/>
    <col customWidth="1" min="12" max="13" width="9.38"/>
    <col customWidth="1" min="14" max="14" width="5.38"/>
    <col customWidth="1" hidden="1" min="15" max="15" width="9.75"/>
    <col customWidth="1" min="16" max="17" width="6.88"/>
    <col customWidth="1" min="18" max="19" width="8.5"/>
  </cols>
  <sheetData>
    <row r="1">
      <c r="A1" s="1" t="s">
        <v>0</v>
      </c>
    </row>
    <row r="2" ht="22.5" customHeight="1"/>
    <row r="3">
      <c r="B3" s="2" t="s">
        <v>1</v>
      </c>
      <c r="C3" s="3" t="s">
        <v>2</v>
      </c>
      <c r="D3" s="4"/>
      <c r="E3" s="3" t="s">
        <v>3</v>
      </c>
      <c r="F3" s="4"/>
      <c r="G3" s="6" t="s">
        <v>5</v>
      </c>
      <c r="H3" s="7"/>
      <c r="I3" s="9" t="s">
        <v>6</v>
      </c>
      <c r="J3" s="3" t="s">
        <v>7</v>
      </c>
      <c r="K3" s="7"/>
      <c r="L3" s="13" t="s">
        <v>9</v>
      </c>
      <c r="M3" s="7"/>
      <c r="N3" s="14" t="s">
        <v>10</v>
      </c>
      <c r="O3" s="15" t="s">
        <v>11</v>
      </c>
      <c r="P3" s="18" t="s">
        <v>12</v>
      </c>
      <c r="Q3" s="7"/>
      <c r="R3" s="20" t="s">
        <v>13</v>
      </c>
      <c r="S3" s="22" t="s">
        <v>14</v>
      </c>
      <c r="X3" s="24">
        <v>1000.0</v>
      </c>
    </row>
    <row r="4">
      <c r="B4" s="25"/>
      <c r="C4" s="26"/>
      <c r="D4" s="27"/>
      <c r="E4" s="26"/>
      <c r="F4" s="27"/>
      <c r="G4" s="26"/>
      <c r="I4" s="27"/>
      <c r="J4" s="26"/>
      <c r="L4" s="31">
        <f>'METAS VTAS Y OCS'!C2</f>
        <v>46022</v>
      </c>
      <c r="N4" s="27"/>
      <c r="O4" s="26"/>
      <c r="P4" s="26"/>
      <c r="S4" s="27"/>
    </row>
    <row r="5">
      <c r="B5" s="34" t="s">
        <v>19</v>
      </c>
      <c r="C5" s="38">
        <f>516146/X3</f>
        <v>516.146</v>
      </c>
      <c r="D5" s="27"/>
      <c r="E5" s="38">
        <f>1032308/X3</f>
        <v>1032.308</v>
      </c>
      <c r="F5" s="27"/>
      <c r="G5" s="39">
        <v>1075.0</v>
      </c>
      <c r="I5" s="41">
        <f t="shared" ref="I5:I8" si="1">(G5-E5)/E5</f>
        <v>0.04135587441</v>
      </c>
      <c r="J5" s="39">
        <f>'METAS VTAS Y OCS'!M5</f>
        <v>1013</v>
      </c>
      <c r="L5" s="42">
        <f>'METAS VTAS Y OCS'!N7</f>
        <v>1527.787</v>
      </c>
      <c r="N5" s="41">
        <f t="shared" ref="N5:N8" si="2">(L5-J5)/J5</f>
        <v>0.5081806515</v>
      </c>
      <c r="O5" s="44"/>
      <c r="P5" s="45">
        <f t="shared" ref="P5:P7" si="3">L5+O5</f>
        <v>1527.787</v>
      </c>
      <c r="R5" s="46">
        <f t="shared" ref="R5:R7" si="4">(L5-G5)/G5</f>
        <v>0.4211972093</v>
      </c>
      <c r="S5" s="41">
        <f t="shared" ref="S5:S8" si="5">(P5-E5)/E5</f>
        <v>0.4799720626</v>
      </c>
    </row>
    <row r="6">
      <c r="B6" s="34" t="s">
        <v>36</v>
      </c>
      <c r="C6" s="38">
        <f>175255/X3</f>
        <v>175.255</v>
      </c>
      <c r="D6" s="27"/>
      <c r="E6" s="38">
        <f>(250294+447409)/X3</f>
        <v>697.703</v>
      </c>
      <c r="F6" s="27"/>
      <c r="G6" s="39">
        <v>1281.0</v>
      </c>
      <c r="I6" s="41">
        <f t="shared" si="1"/>
        <v>0.8360247842</v>
      </c>
      <c r="J6" s="39">
        <f>'METAS VTAS Y OCS'!M11</f>
        <v>1269.5</v>
      </c>
      <c r="L6" s="42" t="str">
        <f>'METAS VTAS Y OCS'!N13</f>
        <v>#REF!</v>
      </c>
      <c r="N6" s="41" t="str">
        <f t="shared" si="2"/>
        <v>#REF!</v>
      </c>
      <c r="O6" s="44"/>
      <c r="P6" s="45" t="str">
        <f t="shared" si="3"/>
        <v>#REF!</v>
      </c>
      <c r="R6" s="46" t="str">
        <f t="shared" si="4"/>
        <v>#REF!</v>
      </c>
      <c r="S6" s="41" t="str">
        <f t="shared" si="5"/>
        <v>#REF!</v>
      </c>
    </row>
    <row r="7">
      <c r="B7" s="34" t="s">
        <v>40</v>
      </c>
      <c r="C7" s="38">
        <f>1047538/X3</f>
        <v>1047.538</v>
      </c>
      <c r="D7" s="27"/>
      <c r="E7" s="38">
        <f>143825/X3</f>
        <v>143.825</v>
      </c>
      <c r="F7" s="27"/>
      <c r="G7" s="39">
        <v>1319.0</v>
      </c>
      <c r="I7" s="41">
        <f t="shared" si="1"/>
        <v>8.170867374</v>
      </c>
      <c r="J7" s="39">
        <f>'METAS VTAS Y OCS'!M17</f>
        <v>1195.95</v>
      </c>
      <c r="L7" s="42">
        <f>'METAS VTAS Y OCS'!N19</f>
        <v>528.556</v>
      </c>
      <c r="N7" s="41">
        <f t="shared" si="2"/>
        <v>-0.5580450688</v>
      </c>
      <c r="O7" s="44"/>
      <c r="P7" s="45">
        <f t="shared" si="3"/>
        <v>528.556</v>
      </c>
      <c r="R7" s="46">
        <f t="shared" si="4"/>
        <v>-0.5992752085</v>
      </c>
      <c r="S7" s="41">
        <f t="shared" si="5"/>
        <v>2.674993916</v>
      </c>
    </row>
    <row r="8">
      <c r="B8" s="57" t="s">
        <v>41</v>
      </c>
      <c r="C8" s="58">
        <f>SUM(C5:C7)</f>
        <v>1738.939</v>
      </c>
      <c r="D8" s="59"/>
      <c r="E8" s="58">
        <f>SUM(E5:E7)</f>
        <v>1873.836</v>
      </c>
      <c r="F8" s="59"/>
      <c r="G8" s="61">
        <f>SUM(G5:H7)</f>
        <v>3675</v>
      </c>
      <c r="H8" s="62"/>
      <c r="I8" s="64">
        <f t="shared" si="1"/>
        <v>0.9612175238</v>
      </c>
      <c r="J8" s="58">
        <f>SUM(J5:K7)</f>
        <v>3478.45</v>
      </c>
      <c r="K8" s="62"/>
      <c r="L8" s="66" t="str">
        <f>SUM(L5:L7)</f>
        <v>#REF!</v>
      </c>
      <c r="M8" s="62"/>
      <c r="N8" s="67" t="str">
        <f t="shared" si="2"/>
        <v>#REF!</v>
      </c>
      <c r="O8" s="68">
        <f t="shared" ref="O8:P8" si="6">SUM(O5:O7)</f>
        <v>0</v>
      </c>
      <c r="P8" s="69" t="str">
        <f t="shared" si="6"/>
        <v>#REF!</v>
      </c>
      <c r="Q8" s="62"/>
      <c r="R8" s="70" t="str">
        <f>(P8-G8)/G8</f>
        <v>#REF!</v>
      </c>
      <c r="S8" s="72" t="str">
        <f t="shared" si="5"/>
        <v>#REF!</v>
      </c>
    </row>
    <row r="9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6"/>
      <c r="S9" s="78"/>
    </row>
    <row r="10" hidden="1">
      <c r="B10" s="24" t="s">
        <v>45</v>
      </c>
    </row>
    <row r="11">
      <c r="B11" s="80" t="s">
        <v>1</v>
      </c>
      <c r="C11" s="82" t="s">
        <v>46</v>
      </c>
      <c r="D11" s="7"/>
      <c r="E11" s="7"/>
      <c r="F11" s="4"/>
      <c r="G11" s="84" t="s">
        <v>41</v>
      </c>
    </row>
    <row r="12">
      <c r="B12" s="26"/>
      <c r="C12" s="85" t="s">
        <v>47</v>
      </c>
      <c r="D12" s="86" t="s">
        <v>48</v>
      </c>
      <c r="E12" s="86" t="s">
        <v>49</v>
      </c>
      <c r="F12" s="87" t="s">
        <v>50</v>
      </c>
      <c r="G12" s="27"/>
    </row>
    <row r="13">
      <c r="B13" s="88" t="s">
        <v>19</v>
      </c>
      <c r="C13" s="89">
        <v>1120.0</v>
      </c>
      <c r="D13" s="91">
        <v>243.0</v>
      </c>
      <c r="E13" s="91">
        <v>68.0</v>
      </c>
      <c r="F13" s="92">
        <v>0.0</v>
      </c>
      <c r="G13" s="93">
        <f t="shared" ref="G13:G16" si="7">SUM(C13:F13)</f>
        <v>1431</v>
      </c>
    </row>
    <row r="14">
      <c r="B14" s="88" t="s">
        <v>36</v>
      </c>
      <c r="C14" s="89">
        <v>278.0</v>
      </c>
      <c r="D14" s="91">
        <v>310.0</v>
      </c>
      <c r="E14" s="91">
        <v>35.0</v>
      </c>
      <c r="F14" s="92">
        <v>22.0</v>
      </c>
      <c r="G14" s="93">
        <f t="shared" si="7"/>
        <v>645</v>
      </c>
      <c r="I14" s="94"/>
    </row>
    <row r="15">
      <c r="B15" s="88" t="s">
        <v>40</v>
      </c>
      <c r="C15" s="89">
        <v>471.0</v>
      </c>
      <c r="D15" s="91">
        <v>67.0</v>
      </c>
      <c r="E15" s="91">
        <v>7.0</v>
      </c>
      <c r="F15" s="92">
        <v>15.0</v>
      </c>
      <c r="G15" s="93">
        <f t="shared" si="7"/>
        <v>560</v>
      </c>
    </row>
    <row r="16">
      <c r="B16" s="95" t="s">
        <v>41</v>
      </c>
      <c r="C16" s="96">
        <f t="shared" ref="C16:E16" si="8">SUM(C13:C15)</f>
        <v>1869</v>
      </c>
      <c r="D16" s="97">
        <f t="shared" si="8"/>
        <v>620</v>
      </c>
      <c r="E16" s="97">
        <f t="shared" si="8"/>
        <v>110</v>
      </c>
      <c r="F16" s="98"/>
      <c r="G16" s="99">
        <f t="shared" si="7"/>
        <v>2599</v>
      </c>
    </row>
    <row r="20">
      <c r="D20" s="24">
        <v>1775.0</v>
      </c>
    </row>
    <row r="21">
      <c r="D21" s="24">
        <v>700.0</v>
      </c>
    </row>
  </sheetData>
  <mergeCells count="41">
    <mergeCell ref="L3:M3"/>
    <mergeCell ref="N3:N4"/>
    <mergeCell ref="L4:M4"/>
    <mergeCell ref="O3:O4"/>
    <mergeCell ref="P3:Q4"/>
    <mergeCell ref="P5:Q5"/>
    <mergeCell ref="P6:Q6"/>
    <mergeCell ref="P7:Q7"/>
    <mergeCell ref="P8:Q8"/>
    <mergeCell ref="R3:R4"/>
    <mergeCell ref="S3:S4"/>
    <mergeCell ref="A1:S1"/>
    <mergeCell ref="B3:B4"/>
    <mergeCell ref="C3:D4"/>
    <mergeCell ref="E3:F4"/>
    <mergeCell ref="G3:H4"/>
    <mergeCell ref="I3:I4"/>
    <mergeCell ref="J3:K4"/>
    <mergeCell ref="J5:K5"/>
    <mergeCell ref="J6:K6"/>
    <mergeCell ref="J7:K7"/>
    <mergeCell ref="L7:M7"/>
    <mergeCell ref="J8:K8"/>
    <mergeCell ref="L8:M8"/>
    <mergeCell ref="C5:D5"/>
    <mergeCell ref="E5:F5"/>
    <mergeCell ref="G5:H5"/>
    <mergeCell ref="L5:M5"/>
    <mergeCell ref="E6:F6"/>
    <mergeCell ref="G6:H6"/>
    <mergeCell ref="L6:M6"/>
    <mergeCell ref="B11:B12"/>
    <mergeCell ref="C11:F11"/>
    <mergeCell ref="G11:G12"/>
    <mergeCell ref="C6:D6"/>
    <mergeCell ref="C7:D7"/>
    <mergeCell ref="E7:F7"/>
    <mergeCell ref="G7:H7"/>
    <mergeCell ref="C8:D8"/>
    <mergeCell ref="E8:F8"/>
    <mergeCell ref="G8:H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14" width="15.25"/>
    <col customWidth="1" hidden="1" min="15" max="15" width="14.63"/>
    <col customWidth="1" min="16" max="16" width="2.75"/>
    <col customWidth="1" hidden="1" min="17" max="17" width="13.25"/>
    <col hidden="1" min="18" max="18" width="12.63"/>
  </cols>
  <sheetData>
    <row r="1" ht="22.5" customHeight="1">
      <c r="A1" s="109"/>
      <c r="B1" s="110" t="s">
        <v>56</v>
      </c>
      <c r="P1" s="109"/>
      <c r="Q1" s="111"/>
      <c r="R1" s="112"/>
    </row>
    <row r="2">
      <c r="A2" s="109"/>
      <c r="B2" s="114" t="s">
        <v>57</v>
      </c>
      <c r="C2" s="115">
        <v>46022.0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>
      <c r="A3" s="109"/>
      <c r="B3" s="116" t="s">
        <v>58</v>
      </c>
      <c r="C3" s="117" t="s">
        <v>59</v>
      </c>
      <c r="D3" s="117" t="s">
        <v>60</v>
      </c>
      <c r="E3" s="117" t="s">
        <v>61</v>
      </c>
      <c r="F3" s="117" t="s">
        <v>62</v>
      </c>
      <c r="G3" s="117" t="s">
        <v>63</v>
      </c>
      <c r="H3" s="117" t="s">
        <v>64</v>
      </c>
      <c r="I3" s="117" t="s">
        <v>65</v>
      </c>
      <c r="J3" s="117" t="s">
        <v>66</v>
      </c>
      <c r="K3" s="117" t="s">
        <v>67</v>
      </c>
      <c r="L3" s="117" t="s">
        <v>68</v>
      </c>
      <c r="M3" s="117" t="s">
        <v>69</v>
      </c>
      <c r="N3" s="117" t="s">
        <v>70</v>
      </c>
      <c r="O3" s="118" t="s">
        <v>41</v>
      </c>
      <c r="P3" s="109"/>
      <c r="Q3" s="118" t="s">
        <v>73</v>
      </c>
      <c r="R3" s="109"/>
    </row>
    <row r="4" hidden="1">
      <c r="A4" s="109"/>
      <c r="B4" s="119" t="s">
        <v>74</v>
      </c>
      <c r="C4" s="122">
        <f>O4/12</f>
        <v>89.58333333</v>
      </c>
      <c r="D4" s="122">
        <f t="shared" ref="D4:N4" si="1">$O$4/12+C4</f>
        <v>179.1666667</v>
      </c>
      <c r="E4" s="122">
        <f t="shared" si="1"/>
        <v>268.75</v>
      </c>
      <c r="F4" s="122">
        <f t="shared" si="1"/>
        <v>358.3333333</v>
      </c>
      <c r="G4" s="122">
        <f t="shared" si="1"/>
        <v>447.9166667</v>
      </c>
      <c r="H4" s="122">
        <f t="shared" si="1"/>
        <v>537.5</v>
      </c>
      <c r="I4" s="122">
        <f t="shared" si="1"/>
        <v>627.0833333</v>
      </c>
      <c r="J4" s="122">
        <f t="shared" si="1"/>
        <v>716.6666667</v>
      </c>
      <c r="K4" s="122">
        <f t="shared" si="1"/>
        <v>806.25</v>
      </c>
      <c r="L4" s="122">
        <f t="shared" si="1"/>
        <v>895.8333333</v>
      </c>
      <c r="M4" s="122">
        <f t="shared" si="1"/>
        <v>985.4166667</v>
      </c>
      <c r="N4" s="124">
        <f t="shared" si="1"/>
        <v>1075</v>
      </c>
      <c r="O4" s="126">
        <v>1075.0</v>
      </c>
      <c r="P4" s="109"/>
      <c r="Q4" s="127">
        <v>417.0</v>
      </c>
      <c r="R4" s="109"/>
    </row>
    <row r="5">
      <c r="A5" s="109"/>
      <c r="B5" s="119" t="s">
        <v>76</v>
      </c>
      <c r="C5" s="128">
        <v>6.0</v>
      </c>
      <c r="D5" s="122">
        <f>C5+30</f>
        <v>36</v>
      </c>
      <c r="E5" s="122">
        <f>D5+305</f>
        <v>341</v>
      </c>
      <c r="F5" s="122">
        <f>E5+19</f>
        <v>360</v>
      </c>
      <c r="G5" s="122">
        <f>F5+20</f>
        <v>380</v>
      </c>
      <c r="H5" s="122">
        <f>G5+31</f>
        <v>411</v>
      </c>
      <c r="I5" s="122">
        <f>H5+65</f>
        <v>476</v>
      </c>
      <c r="J5" s="122">
        <f>I5+161</f>
        <v>637</v>
      </c>
      <c r="K5" s="122">
        <f>J5+72</f>
        <v>709</v>
      </c>
      <c r="L5" s="122">
        <f>K5+54</f>
        <v>763</v>
      </c>
      <c r="M5" s="122">
        <f>L5+250</f>
        <v>1013</v>
      </c>
      <c r="N5" s="124">
        <f>M5+62</f>
        <v>1075</v>
      </c>
      <c r="O5" s="122"/>
      <c r="P5" s="109"/>
      <c r="Q5" s="109"/>
      <c r="R5" s="109"/>
    </row>
    <row r="6">
      <c r="A6" s="109"/>
      <c r="B6" s="130" t="s">
        <v>81</v>
      </c>
      <c r="C6" s="131">
        <f>C7</f>
        <v>10.808</v>
      </c>
      <c r="D6" s="131">
        <f t="shared" ref="D6:M6" si="2">C6+D7</f>
        <v>13.127</v>
      </c>
      <c r="E6" s="131">
        <f t="shared" si="2"/>
        <v>128.463</v>
      </c>
      <c r="F6" s="131">
        <f t="shared" si="2"/>
        <v>230.042</v>
      </c>
      <c r="G6" s="131">
        <f t="shared" si="2"/>
        <v>405.108</v>
      </c>
      <c r="H6" s="131">
        <f t="shared" si="2"/>
        <v>405.108</v>
      </c>
      <c r="I6" s="131">
        <f t="shared" si="2"/>
        <v>926.181</v>
      </c>
      <c r="J6" s="131">
        <f t="shared" si="2"/>
        <v>982.111</v>
      </c>
      <c r="K6" s="131">
        <f t="shared" si="2"/>
        <v>1040.387</v>
      </c>
      <c r="L6" s="131">
        <f t="shared" si="2"/>
        <v>1295.691</v>
      </c>
      <c r="M6" s="131">
        <f t="shared" si="2"/>
        <v>1527.787</v>
      </c>
      <c r="N6" s="131"/>
      <c r="O6" s="122">
        <f>SUM(C6:N6)</f>
        <v>6964.813</v>
      </c>
      <c r="P6" s="109"/>
      <c r="Q6" s="109"/>
      <c r="R6" s="109"/>
    </row>
    <row r="7">
      <c r="A7" s="109"/>
      <c r="B7" s="130" t="s">
        <v>94</v>
      </c>
      <c r="C7" s="131">
        <f>(E65+E67)/1000</f>
        <v>10.808</v>
      </c>
      <c r="D7" s="127">
        <f>(E72)/1000</f>
        <v>2.319</v>
      </c>
      <c r="E7" s="131">
        <f>(E80+E81+E84+E85+E86)/1000</f>
        <v>115.336</v>
      </c>
      <c r="F7" s="131">
        <f>(E88+E89+E90+E91+E92+E96+E97+E98)/1000</f>
        <v>101.579</v>
      </c>
      <c r="G7" s="131">
        <f>(E101+E102+E103)/1000</f>
        <v>175.066</v>
      </c>
      <c r="H7" s="131">
        <f>(E105)/1000</f>
        <v>0</v>
      </c>
      <c r="I7" s="131">
        <f>(E112+E114+E116)/1000</f>
        <v>521.073</v>
      </c>
      <c r="J7" s="131">
        <f>(E119+E121+E122)/1000</f>
        <v>55.93</v>
      </c>
      <c r="K7" s="131">
        <f>(E126+E127+E129+E130+E131+E132)/1000</f>
        <v>58.276</v>
      </c>
      <c r="L7" s="131">
        <f>(E135+E136+E137+E138+E139+E140+E141)/1000</f>
        <v>255.304</v>
      </c>
      <c r="M7" s="131">
        <f>(E144+E145+E146+E147+E148+E152+E157+E158+E159+E160)/1000</f>
        <v>232.096</v>
      </c>
      <c r="N7" s="131">
        <f>SUM(C7:M7)</f>
        <v>1527.787</v>
      </c>
      <c r="O7" s="131"/>
      <c r="P7" s="109"/>
      <c r="Q7" s="109"/>
      <c r="R7" s="109"/>
    </row>
    <row r="8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</row>
    <row r="9">
      <c r="A9" s="109"/>
      <c r="B9" s="116" t="s">
        <v>36</v>
      </c>
      <c r="C9" s="117" t="s">
        <v>59</v>
      </c>
      <c r="D9" s="117" t="s">
        <v>60</v>
      </c>
      <c r="E9" s="117" t="s">
        <v>61</v>
      </c>
      <c r="F9" s="117" t="s">
        <v>62</v>
      </c>
      <c r="G9" s="117" t="s">
        <v>63</v>
      </c>
      <c r="H9" s="117" t="s">
        <v>64</v>
      </c>
      <c r="I9" s="117" t="s">
        <v>65</v>
      </c>
      <c r="J9" s="117" t="s">
        <v>66</v>
      </c>
      <c r="K9" s="117" t="s">
        <v>67</v>
      </c>
      <c r="L9" s="117" t="s">
        <v>68</v>
      </c>
      <c r="M9" s="117" t="s">
        <v>69</v>
      </c>
      <c r="N9" s="117" t="s">
        <v>70</v>
      </c>
      <c r="O9" s="118" t="s">
        <v>41</v>
      </c>
      <c r="P9" s="109"/>
      <c r="Q9" s="118" t="s">
        <v>73</v>
      </c>
      <c r="R9" s="109"/>
    </row>
    <row r="10" hidden="1">
      <c r="A10" s="109"/>
      <c r="B10" s="119" t="s">
        <v>74</v>
      </c>
      <c r="C10" s="122">
        <f>O10/12</f>
        <v>106.75</v>
      </c>
      <c r="D10" s="122">
        <f t="shared" ref="D10:N10" si="3">$O$10/12+C10</f>
        <v>213.5</v>
      </c>
      <c r="E10" s="122">
        <f t="shared" si="3"/>
        <v>320.25</v>
      </c>
      <c r="F10" s="122">
        <f t="shared" si="3"/>
        <v>427</v>
      </c>
      <c r="G10" s="122">
        <f t="shared" si="3"/>
        <v>533.75</v>
      </c>
      <c r="H10" s="122">
        <f t="shared" si="3"/>
        <v>640.5</v>
      </c>
      <c r="I10" s="122">
        <f t="shared" si="3"/>
        <v>747.25</v>
      </c>
      <c r="J10" s="122">
        <f t="shared" si="3"/>
        <v>854</v>
      </c>
      <c r="K10" s="122">
        <f t="shared" si="3"/>
        <v>960.75</v>
      </c>
      <c r="L10" s="122">
        <f t="shared" si="3"/>
        <v>1067.5</v>
      </c>
      <c r="M10" s="122">
        <f t="shared" si="3"/>
        <v>1174.25</v>
      </c>
      <c r="N10" s="124">
        <f t="shared" si="3"/>
        <v>1281</v>
      </c>
      <c r="O10" s="126">
        <v>1281.0</v>
      </c>
      <c r="P10" s="109"/>
      <c r="Q10" s="127">
        <v>608.0</v>
      </c>
      <c r="R10" s="109"/>
    </row>
    <row r="11">
      <c r="A11" s="109"/>
      <c r="B11" s="119" t="s">
        <v>76</v>
      </c>
      <c r="C11" s="128">
        <v>46.75</v>
      </c>
      <c r="D11" s="122">
        <f>C11+7.5</f>
        <v>54.25</v>
      </c>
      <c r="E11" s="122">
        <f>D11+57.5</f>
        <v>111.75</v>
      </c>
      <c r="F11" s="122">
        <f>E11+25.5</f>
        <v>137.25</v>
      </c>
      <c r="G11" s="122">
        <f>F11+61.5</f>
        <v>198.75</v>
      </c>
      <c r="H11" s="122">
        <f>G11+170</f>
        <v>368.75</v>
      </c>
      <c r="I11" s="122">
        <f>H11+52.25</f>
        <v>421</v>
      </c>
      <c r="J11" s="122">
        <f>I11+146</f>
        <v>567</v>
      </c>
      <c r="K11" s="122">
        <f>J11+473</f>
        <v>1040</v>
      </c>
      <c r="L11" s="122">
        <f>K11+199.5</f>
        <v>1239.5</v>
      </c>
      <c r="M11" s="122">
        <f>L11+30</f>
        <v>1269.5</v>
      </c>
      <c r="N11" s="124">
        <f>M11+11.25</f>
        <v>1280.75</v>
      </c>
      <c r="O11" s="122"/>
      <c r="P11" s="109"/>
      <c r="Q11" s="109"/>
      <c r="R11" s="109"/>
    </row>
    <row r="12">
      <c r="A12" s="109"/>
      <c r="B12" s="130" t="s">
        <v>81</v>
      </c>
      <c r="C12" s="131">
        <f>C13</f>
        <v>0.922</v>
      </c>
      <c r="D12" s="131">
        <f t="shared" ref="D12:M12" si="4">C12+D13</f>
        <v>55.349</v>
      </c>
      <c r="E12" s="131">
        <f t="shared" si="4"/>
        <v>140.245</v>
      </c>
      <c r="F12" s="131">
        <f t="shared" si="4"/>
        <v>140.245</v>
      </c>
      <c r="G12" s="131">
        <f t="shared" si="4"/>
        <v>140.245</v>
      </c>
      <c r="H12" s="131">
        <f t="shared" si="4"/>
        <v>332.747</v>
      </c>
      <c r="I12" s="131">
        <f t="shared" si="4"/>
        <v>372.391</v>
      </c>
      <c r="J12" s="131">
        <f t="shared" si="4"/>
        <v>374.115</v>
      </c>
      <c r="K12" s="131">
        <f t="shared" si="4"/>
        <v>374.115</v>
      </c>
      <c r="L12" s="131">
        <f t="shared" si="4"/>
        <v>412.449</v>
      </c>
      <c r="M12" s="131" t="str">
        <f t="shared" si="4"/>
        <v>#REF!</v>
      </c>
      <c r="N12" s="131"/>
      <c r="O12" s="122" t="str">
        <f>SUM(C12:N12)</f>
        <v>#REF!</v>
      </c>
      <c r="P12" s="109"/>
      <c r="Q12" s="109"/>
      <c r="R12" s="109"/>
    </row>
    <row r="13">
      <c r="A13" s="109"/>
      <c r="B13" s="130" t="s">
        <v>94</v>
      </c>
      <c r="C13" s="127">
        <f>E66/1000</f>
        <v>0.922</v>
      </c>
      <c r="D13" s="131">
        <f>(E71+E73+E74+E75+E77)/1000</f>
        <v>54.427</v>
      </c>
      <c r="E13" s="127">
        <f>(E82)/1000</f>
        <v>84.896</v>
      </c>
      <c r="F13" s="127">
        <v>0.0</v>
      </c>
      <c r="G13" s="127">
        <v>0.0</v>
      </c>
      <c r="H13" s="127">
        <f>(E107+E108)/1000</f>
        <v>192.502</v>
      </c>
      <c r="I13" s="127">
        <f>(E113)/1000</f>
        <v>39.644</v>
      </c>
      <c r="J13" s="131">
        <f>(E124)/1000</f>
        <v>1.724</v>
      </c>
      <c r="K13" s="127">
        <v>0.0</v>
      </c>
      <c r="L13" s="131">
        <f>E134/1000</f>
        <v>38.334</v>
      </c>
      <c r="M13" s="131" t="str">
        <f>(E153+E163+#REF!)/1000</f>
        <v>#REF!</v>
      </c>
      <c r="N13" s="131" t="str">
        <f>SUM(C13:M13)</f>
        <v>#REF!</v>
      </c>
      <c r="O13" s="131"/>
      <c r="P13" s="109"/>
      <c r="Q13" s="109"/>
      <c r="R13" s="109"/>
    </row>
    <row r="14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</row>
    <row r="15">
      <c r="A15" s="109"/>
      <c r="B15" s="116" t="s">
        <v>40</v>
      </c>
      <c r="C15" s="117" t="s">
        <v>59</v>
      </c>
      <c r="D15" s="117" t="s">
        <v>60</v>
      </c>
      <c r="E15" s="117" t="s">
        <v>61</v>
      </c>
      <c r="F15" s="117" t="s">
        <v>62</v>
      </c>
      <c r="G15" s="117" t="s">
        <v>63</v>
      </c>
      <c r="H15" s="117" t="s">
        <v>64</v>
      </c>
      <c r="I15" s="117" t="s">
        <v>65</v>
      </c>
      <c r="J15" s="117" t="s">
        <v>66</v>
      </c>
      <c r="K15" s="117" t="s">
        <v>67</v>
      </c>
      <c r="L15" s="117" t="s">
        <v>68</v>
      </c>
      <c r="M15" s="117" t="s">
        <v>69</v>
      </c>
      <c r="N15" s="117" t="s">
        <v>70</v>
      </c>
      <c r="O15" s="118" t="s">
        <v>41</v>
      </c>
      <c r="P15" s="109"/>
      <c r="Q15" s="118" t="s">
        <v>73</v>
      </c>
      <c r="R15" s="109"/>
    </row>
    <row r="16" hidden="1">
      <c r="A16" s="109"/>
      <c r="B16" s="119" t="s">
        <v>74</v>
      </c>
      <c r="C16" s="122">
        <f>O16/12</f>
        <v>109.9166667</v>
      </c>
      <c r="D16" s="122">
        <f t="shared" ref="D16:N16" si="5">$O$16/12+C16</f>
        <v>219.8333333</v>
      </c>
      <c r="E16" s="122">
        <f t="shared" si="5"/>
        <v>329.75</v>
      </c>
      <c r="F16" s="122">
        <f t="shared" si="5"/>
        <v>439.6666667</v>
      </c>
      <c r="G16" s="122">
        <f t="shared" si="5"/>
        <v>549.5833333</v>
      </c>
      <c r="H16" s="122">
        <f t="shared" si="5"/>
        <v>659.5</v>
      </c>
      <c r="I16" s="122">
        <f t="shared" si="5"/>
        <v>769.4166667</v>
      </c>
      <c r="J16" s="122">
        <f t="shared" si="5"/>
        <v>879.3333333</v>
      </c>
      <c r="K16" s="122">
        <f t="shared" si="5"/>
        <v>989.25</v>
      </c>
      <c r="L16" s="122">
        <f t="shared" si="5"/>
        <v>1099.166667</v>
      </c>
      <c r="M16" s="122">
        <f t="shared" si="5"/>
        <v>1209.083333</v>
      </c>
      <c r="N16" s="124">
        <f t="shared" si="5"/>
        <v>1319</v>
      </c>
      <c r="O16" s="126">
        <v>1319.0</v>
      </c>
      <c r="P16" s="109"/>
      <c r="Q16" s="127">
        <v>531.0</v>
      </c>
      <c r="R16" s="109"/>
    </row>
    <row r="17">
      <c r="A17" s="109"/>
      <c r="B17" s="119" t="s">
        <v>76</v>
      </c>
      <c r="C17" s="122">
        <f>38.2</f>
        <v>38.2</v>
      </c>
      <c r="D17" s="122">
        <f>12+C17</f>
        <v>50.2</v>
      </c>
      <c r="E17" s="122">
        <f>D17+35</f>
        <v>85.2</v>
      </c>
      <c r="F17" s="122">
        <f>E17+126.55</f>
        <v>211.75</v>
      </c>
      <c r="G17" s="122">
        <f>F17+180</f>
        <v>391.75</v>
      </c>
      <c r="H17" s="122">
        <f>G17+226</f>
        <v>617.75</v>
      </c>
      <c r="I17" s="122">
        <f>H17+89.7</f>
        <v>707.45</v>
      </c>
      <c r="J17" s="122">
        <f>I17+106.5</f>
        <v>813.95</v>
      </c>
      <c r="K17" s="122">
        <f>J17+89</f>
        <v>902.95</v>
      </c>
      <c r="L17" s="122">
        <f>K17+232</f>
        <v>1134.95</v>
      </c>
      <c r="M17" s="122">
        <f>L17+61</f>
        <v>1195.95</v>
      </c>
      <c r="N17" s="124">
        <f>M17+122.8</f>
        <v>1318.75</v>
      </c>
      <c r="O17" s="122"/>
      <c r="P17" s="109"/>
      <c r="Q17" s="109"/>
      <c r="R17" s="109"/>
    </row>
    <row r="18">
      <c r="A18" s="109"/>
      <c r="B18" s="130" t="s">
        <v>81</v>
      </c>
      <c r="C18" s="131">
        <f>C19</f>
        <v>11.69</v>
      </c>
      <c r="D18" s="131">
        <f t="shared" ref="D18:M18" si="6">C18+D19</f>
        <v>96.508</v>
      </c>
      <c r="E18" s="131">
        <f t="shared" si="6"/>
        <v>133.355</v>
      </c>
      <c r="F18" s="131">
        <f t="shared" si="6"/>
        <v>194.915</v>
      </c>
      <c r="G18" s="131">
        <f t="shared" si="6"/>
        <v>198.342</v>
      </c>
      <c r="H18" s="131">
        <f t="shared" si="6"/>
        <v>223.826</v>
      </c>
      <c r="I18" s="131">
        <f t="shared" si="6"/>
        <v>264.879</v>
      </c>
      <c r="J18" s="131">
        <f t="shared" si="6"/>
        <v>294.598</v>
      </c>
      <c r="K18" s="131">
        <f t="shared" si="6"/>
        <v>330.71</v>
      </c>
      <c r="L18" s="131">
        <f t="shared" si="6"/>
        <v>330.71</v>
      </c>
      <c r="M18" s="131">
        <f t="shared" si="6"/>
        <v>528.556</v>
      </c>
      <c r="N18" s="131"/>
      <c r="O18" s="122">
        <f>SUM(C18:N18)</f>
        <v>2608.089</v>
      </c>
      <c r="P18" s="109"/>
      <c r="Q18" s="109"/>
      <c r="R18" s="109"/>
    </row>
    <row r="19">
      <c r="A19" s="109"/>
      <c r="B19" s="130" t="s">
        <v>94</v>
      </c>
      <c r="C19" s="127">
        <f>E68/1000</f>
        <v>11.69</v>
      </c>
      <c r="D19" s="131">
        <f>(E70+E76+E78)/1000</f>
        <v>84.818</v>
      </c>
      <c r="E19" s="127">
        <f>(E83)/1000</f>
        <v>36.847</v>
      </c>
      <c r="F19" s="131">
        <f>(E93+E94+E95)/1000</f>
        <v>61.56</v>
      </c>
      <c r="G19" s="131">
        <f>(E100)/1000</f>
        <v>3.427</v>
      </c>
      <c r="H19" s="127">
        <f>(E106+E109)/1000</f>
        <v>25.484</v>
      </c>
      <c r="I19" s="131">
        <f>(E111+E115)/1000</f>
        <v>41.053</v>
      </c>
      <c r="J19" s="131">
        <f>(E118+E120+E123)/1000</f>
        <v>29.719</v>
      </c>
      <c r="K19" s="131">
        <f>E128/1000</f>
        <v>36.112</v>
      </c>
      <c r="L19" s="127">
        <v>0.0</v>
      </c>
      <c r="M19" s="131">
        <f>(E143+E149+E150+E151+E154+E155+E156+E161+E162)/1000</f>
        <v>197.846</v>
      </c>
      <c r="N19" s="131">
        <f>SUM(C19:M19)</f>
        <v>528.556</v>
      </c>
      <c r="O19" s="131"/>
      <c r="P19" s="109"/>
      <c r="Q19" s="109"/>
      <c r="R19" s="109"/>
    </row>
    <row r="20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</row>
    <row r="2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</row>
    <row r="22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</row>
    <row r="2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</row>
    <row r="24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</row>
    <row r="25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</row>
    <row r="26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</row>
    <row r="27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</row>
    <row r="2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</row>
    <row r="29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</row>
    <row r="30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</row>
    <row r="3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</row>
    <row r="32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</row>
    <row r="34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</row>
    <row r="35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</row>
    <row r="36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>
      <c r="A37" s="109"/>
      <c r="B37" s="109"/>
      <c r="C37" s="211">
        <v>1.0</v>
      </c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>
      <c r="A38" s="109"/>
      <c r="B38" s="116" t="s">
        <v>125</v>
      </c>
      <c r="C38" s="117" t="s">
        <v>59</v>
      </c>
      <c r="D38" s="117" t="s">
        <v>60</v>
      </c>
      <c r="E38" s="117" t="s">
        <v>61</v>
      </c>
      <c r="F38" s="117" t="s">
        <v>62</v>
      </c>
      <c r="G38" s="117" t="s">
        <v>63</v>
      </c>
      <c r="H38" s="117" t="s">
        <v>64</v>
      </c>
      <c r="I38" s="117" t="s">
        <v>65</v>
      </c>
      <c r="J38" s="117" t="s">
        <v>66</v>
      </c>
      <c r="K38" s="117" t="s">
        <v>67</v>
      </c>
      <c r="L38" s="117" t="s">
        <v>68</v>
      </c>
      <c r="M38" s="117" t="s">
        <v>69</v>
      </c>
      <c r="N38" s="117" t="s">
        <v>70</v>
      </c>
      <c r="O38" s="118" t="s">
        <v>41</v>
      </c>
      <c r="P38" s="109"/>
      <c r="Q38" s="118" t="s">
        <v>73</v>
      </c>
      <c r="R38" s="211" t="s">
        <v>126</v>
      </c>
    </row>
    <row r="39" hidden="1">
      <c r="A39" s="109"/>
      <c r="B39" s="119" t="s">
        <v>74</v>
      </c>
      <c r="C39" s="122">
        <f t="shared" ref="C39:N39" si="7">C4+C10+C16</f>
        <v>306.25</v>
      </c>
      <c r="D39" s="122">
        <f t="shared" si="7"/>
        <v>612.5</v>
      </c>
      <c r="E39" s="122">
        <f t="shared" si="7"/>
        <v>918.75</v>
      </c>
      <c r="F39" s="122">
        <f t="shared" si="7"/>
        <v>1225</v>
      </c>
      <c r="G39" s="122">
        <f t="shared" si="7"/>
        <v>1531.25</v>
      </c>
      <c r="H39" s="122">
        <f t="shared" si="7"/>
        <v>1837.5</v>
      </c>
      <c r="I39" s="122">
        <f t="shared" si="7"/>
        <v>2143.75</v>
      </c>
      <c r="J39" s="122">
        <f t="shared" si="7"/>
        <v>2450</v>
      </c>
      <c r="K39" s="122">
        <f t="shared" si="7"/>
        <v>2756.25</v>
      </c>
      <c r="L39" s="122">
        <f t="shared" si="7"/>
        <v>3062.5</v>
      </c>
      <c r="M39" s="122">
        <f t="shared" si="7"/>
        <v>3368.75</v>
      </c>
      <c r="N39" s="124">
        <f t="shared" si="7"/>
        <v>3675</v>
      </c>
      <c r="O39" s="212">
        <f>N39</f>
        <v>3675</v>
      </c>
      <c r="P39" s="109"/>
      <c r="Q39" s="131">
        <f>Q4+Q10+Q16</f>
        <v>1556</v>
      </c>
      <c r="R39" s="214">
        <f>N39*1%</f>
        <v>36.75</v>
      </c>
    </row>
    <row r="40">
      <c r="A40" s="109"/>
      <c r="B40" s="119" t="s">
        <v>76</v>
      </c>
      <c r="C40" s="122">
        <f t="shared" ref="C40:N40" si="8">(C5+C11+C17)*$C$37</f>
        <v>90.95</v>
      </c>
      <c r="D40" s="122">
        <f t="shared" si="8"/>
        <v>140.45</v>
      </c>
      <c r="E40" s="122">
        <f t="shared" si="8"/>
        <v>537.95</v>
      </c>
      <c r="F40" s="122">
        <f t="shared" si="8"/>
        <v>709</v>
      </c>
      <c r="G40" s="122">
        <f t="shared" si="8"/>
        <v>970.5</v>
      </c>
      <c r="H40" s="122">
        <f t="shared" si="8"/>
        <v>1397.5</v>
      </c>
      <c r="I40" s="122">
        <f t="shared" si="8"/>
        <v>1604.45</v>
      </c>
      <c r="J40" s="122">
        <f t="shared" si="8"/>
        <v>2017.95</v>
      </c>
      <c r="K40" s="122">
        <f t="shared" si="8"/>
        <v>2651.95</v>
      </c>
      <c r="L40" s="122">
        <f t="shared" si="8"/>
        <v>3137.45</v>
      </c>
      <c r="M40" s="122">
        <f t="shared" si="8"/>
        <v>3478.45</v>
      </c>
      <c r="N40" s="122">
        <f t="shared" si="8"/>
        <v>3674.5</v>
      </c>
      <c r="O40" s="131"/>
      <c r="P40" s="109"/>
      <c r="Q40" s="109"/>
      <c r="R40" s="109"/>
    </row>
    <row r="41">
      <c r="A41" s="109"/>
      <c r="B41" s="130" t="s">
        <v>81</v>
      </c>
      <c r="C41" s="131">
        <f>C42</f>
        <v>23.42</v>
      </c>
      <c r="D41" s="131">
        <f t="shared" ref="D41:M41" si="9">C41+D42</f>
        <v>164.984</v>
      </c>
      <c r="E41" s="131">
        <f t="shared" si="9"/>
        <v>402.063</v>
      </c>
      <c r="F41" s="131">
        <f t="shared" si="9"/>
        <v>565.202</v>
      </c>
      <c r="G41" s="131">
        <f t="shared" si="9"/>
        <v>743.695</v>
      </c>
      <c r="H41" s="131">
        <f t="shared" si="9"/>
        <v>961.681</v>
      </c>
      <c r="I41" s="131">
        <f t="shared" si="9"/>
        <v>1563.451</v>
      </c>
      <c r="J41" s="131">
        <f t="shared" si="9"/>
        <v>1650.824</v>
      </c>
      <c r="K41" s="131">
        <f t="shared" si="9"/>
        <v>1745.212</v>
      </c>
      <c r="L41" s="131">
        <f t="shared" si="9"/>
        <v>2038.85</v>
      </c>
      <c r="M41" s="131" t="str">
        <f t="shared" si="9"/>
        <v>#REF!</v>
      </c>
      <c r="N41" s="131"/>
      <c r="O41" s="131"/>
      <c r="P41" s="109"/>
      <c r="Q41" s="109"/>
      <c r="R41" s="109"/>
    </row>
    <row r="42">
      <c r="A42" s="109"/>
      <c r="B42" s="130" t="s">
        <v>130</v>
      </c>
      <c r="C42" s="131">
        <f t="shared" ref="C42:M42" si="10">(C7+C13+C19)*$C$37</f>
        <v>23.42</v>
      </c>
      <c r="D42" s="131">
        <f t="shared" si="10"/>
        <v>141.564</v>
      </c>
      <c r="E42" s="131">
        <f t="shared" si="10"/>
        <v>237.079</v>
      </c>
      <c r="F42" s="131">
        <f t="shared" si="10"/>
        <v>163.139</v>
      </c>
      <c r="G42" s="131">
        <f t="shared" si="10"/>
        <v>178.493</v>
      </c>
      <c r="H42" s="131">
        <f t="shared" si="10"/>
        <v>217.986</v>
      </c>
      <c r="I42" s="131">
        <f t="shared" si="10"/>
        <v>601.77</v>
      </c>
      <c r="J42" s="131">
        <f t="shared" si="10"/>
        <v>87.373</v>
      </c>
      <c r="K42" s="131">
        <f t="shared" si="10"/>
        <v>94.388</v>
      </c>
      <c r="L42" s="131">
        <f t="shared" si="10"/>
        <v>293.638</v>
      </c>
      <c r="M42" s="131" t="str">
        <f t="shared" si="10"/>
        <v>#REF!</v>
      </c>
      <c r="N42" s="131" t="str">
        <f>SUM(C42:M42)</f>
        <v>#REF!</v>
      </c>
      <c r="O42" s="131" t="str">
        <f>SUM(C42:N42)</f>
        <v>#REF!</v>
      </c>
      <c r="P42" s="109"/>
      <c r="Q42" s="109"/>
      <c r="R42" s="109"/>
    </row>
    <row r="43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6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</row>
    <row r="47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</row>
    <row r="4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</row>
    <row r="49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</row>
    <row r="50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</row>
    <row r="5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</row>
    <row r="52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</row>
    <row r="5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</row>
    <row r="54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2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</row>
    <row r="64">
      <c r="A64" s="109"/>
      <c r="B64" s="229" t="s">
        <v>139</v>
      </c>
      <c r="C64" s="230" t="s">
        <v>140</v>
      </c>
      <c r="D64" s="230" t="s">
        <v>141</v>
      </c>
      <c r="E64" s="230" t="s">
        <v>142</v>
      </c>
      <c r="F64" s="231" t="s">
        <v>143</v>
      </c>
      <c r="G64" s="232" t="s">
        <v>144</v>
      </c>
      <c r="H64" s="232" t="s">
        <v>145</v>
      </c>
      <c r="I64" s="232" t="s">
        <v>146</v>
      </c>
      <c r="J64" s="229" t="s">
        <v>147</v>
      </c>
      <c r="K64" s="233" t="s">
        <v>148</v>
      </c>
      <c r="L64" s="234"/>
      <c r="M64" s="235"/>
      <c r="N64" s="211">
        <v>1.0</v>
      </c>
      <c r="O64" s="109"/>
      <c r="P64" s="109"/>
      <c r="Q64" s="109"/>
      <c r="R64" s="109"/>
    </row>
    <row r="65">
      <c r="A65" s="109"/>
      <c r="B65" s="236" t="s">
        <v>149</v>
      </c>
      <c r="C65" s="237">
        <v>2351433.0</v>
      </c>
      <c r="D65" s="238">
        <v>250.0</v>
      </c>
      <c r="E65" s="239">
        <f>9694/N64</f>
        <v>9694</v>
      </c>
      <c r="F65" s="240">
        <v>6321.0</v>
      </c>
      <c r="G65" s="241">
        <v>3283.0</v>
      </c>
      <c r="H65" s="242">
        <v>7203.0</v>
      </c>
      <c r="I65" s="243">
        <v>2401.0</v>
      </c>
      <c r="J65" s="244" t="s">
        <v>58</v>
      </c>
      <c r="K65" s="245" t="s">
        <v>150</v>
      </c>
      <c r="L65" s="246"/>
      <c r="M65" s="247"/>
      <c r="N65" s="109"/>
      <c r="O65" s="109"/>
      <c r="P65" s="109"/>
      <c r="Q65" s="109"/>
      <c r="R65" s="109"/>
    </row>
    <row r="66">
      <c r="A66" s="109"/>
      <c r="B66" s="248" t="s">
        <v>151</v>
      </c>
      <c r="C66" s="237">
        <v>2348146.0</v>
      </c>
      <c r="D66" s="238">
        <v>24.0</v>
      </c>
      <c r="E66" s="239">
        <f>922/N64</f>
        <v>922</v>
      </c>
      <c r="F66" s="240">
        <v>486.0</v>
      </c>
      <c r="G66" s="241">
        <v>436.0</v>
      </c>
      <c r="H66" s="242">
        <v>757.0</v>
      </c>
      <c r="I66" s="243">
        <v>165.0</v>
      </c>
      <c r="J66" s="249" t="s">
        <v>152</v>
      </c>
      <c r="K66" s="245" t="s">
        <v>153</v>
      </c>
      <c r="L66" s="246"/>
      <c r="M66" s="247"/>
      <c r="N66" s="109"/>
      <c r="O66" s="109"/>
      <c r="P66" s="109"/>
      <c r="Q66" s="109"/>
      <c r="R66" s="109"/>
    </row>
    <row r="67">
      <c r="A67" s="109"/>
      <c r="B67" s="236" t="s">
        <v>154</v>
      </c>
      <c r="C67" s="237">
        <v>2353624.0</v>
      </c>
      <c r="D67" s="238">
        <v>29.0</v>
      </c>
      <c r="E67" s="239">
        <f>1114/N64</f>
        <v>1114</v>
      </c>
      <c r="F67" s="250">
        <v>495.0</v>
      </c>
      <c r="G67" s="241">
        <v>619.0</v>
      </c>
      <c r="H67" s="243">
        <v>838.0</v>
      </c>
      <c r="I67" s="243">
        <v>276.0</v>
      </c>
      <c r="J67" s="244" t="s">
        <v>58</v>
      </c>
      <c r="K67" s="245" t="s">
        <v>155</v>
      </c>
      <c r="L67" s="246"/>
      <c r="M67" s="247"/>
      <c r="N67" s="251" t="s">
        <v>156</v>
      </c>
      <c r="O67" s="109"/>
      <c r="P67" s="109"/>
      <c r="Q67" s="109"/>
      <c r="R67" s="109"/>
    </row>
    <row r="68">
      <c r="A68" s="109"/>
      <c r="B68" s="248" t="s">
        <v>159</v>
      </c>
      <c r="C68" s="238" t="s">
        <v>160</v>
      </c>
      <c r="D68" s="238">
        <v>305.0</v>
      </c>
      <c r="E68" s="239">
        <f>11690/N64</f>
        <v>11690</v>
      </c>
      <c r="F68" s="240">
        <v>8211.0</v>
      </c>
      <c r="G68" s="241">
        <v>2929.0</v>
      </c>
      <c r="H68" s="242">
        <v>8211.0</v>
      </c>
      <c r="I68" s="243">
        <v>3480.0</v>
      </c>
      <c r="J68" s="253" t="s">
        <v>40</v>
      </c>
      <c r="K68" s="245" t="s">
        <v>161</v>
      </c>
      <c r="L68" s="246"/>
      <c r="M68" s="247"/>
      <c r="N68" s="109"/>
      <c r="O68" s="109"/>
      <c r="P68" s="109"/>
      <c r="Q68" s="109"/>
      <c r="R68" s="109"/>
    </row>
    <row r="69">
      <c r="A69" s="109"/>
      <c r="B69" s="254" t="s">
        <v>162</v>
      </c>
      <c r="C69" s="153"/>
      <c r="D69" s="255">
        <f t="shared" ref="D69:I69" si="11">SUM(D65:D68)</f>
        <v>608</v>
      </c>
      <c r="E69" s="256">
        <f t="shared" si="11"/>
        <v>23420</v>
      </c>
      <c r="F69" s="256">
        <f t="shared" si="11"/>
        <v>15513</v>
      </c>
      <c r="G69" s="256">
        <f t="shared" si="11"/>
        <v>7267</v>
      </c>
      <c r="H69" s="256">
        <f t="shared" si="11"/>
        <v>17009</v>
      </c>
      <c r="I69" s="256">
        <f t="shared" si="11"/>
        <v>6322</v>
      </c>
      <c r="J69" s="257"/>
      <c r="K69" s="258"/>
      <c r="L69" s="258"/>
      <c r="M69" s="259"/>
      <c r="N69" s="109"/>
      <c r="O69" s="109"/>
      <c r="P69" s="109"/>
      <c r="Q69" s="109"/>
      <c r="R69" s="109"/>
    </row>
    <row r="70">
      <c r="A70" s="109"/>
      <c r="B70" s="236" t="s">
        <v>163</v>
      </c>
      <c r="C70" s="238" t="s">
        <v>164</v>
      </c>
      <c r="D70" s="260">
        <v>1243.0</v>
      </c>
      <c r="E70" s="239">
        <f>43639/N64</f>
        <v>43639</v>
      </c>
      <c r="F70" s="240">
        <v>30236.0</v>
      </c>
      <c r="G70" s="261">
        <v>13448.0</v>
      </c>
      <c r="H70" s="242">
        <v>36075.0</v>
      </c>
      <c r="I70" s="243">
        <v>12420.0</v>
      </c>
      <c r="J70" s="244" t="s">
        <v>40</v>
      </c>
      <c r="K70" s="245" t="s">
        <v>165</v>
      </c>
      <c r="L70" s="246"/>
      <c r="M70" s="247"/>
      <c r="N70" s="109"/>
      <c r="O70" s="109"/>
      <c r="P70" s="109"/>
      <c r="Q70" s="109"/>
      <c r="R70" s="109"/>
    </row>
    <row r="71">
      <c r="A71" s="109"/>
      <c r="B71" s="236" t="s">
        <v>166</v>
      </c>
      <c r="C71" s="237">
        <v>1199458.0</v>
      </c>
      <c r="D71" s="238">
        <v>187.0</v>
      </c>
      <c r="E71" s="239">
        <f>6709/N64</f>
        <v>6709</v>
      </c>
      <c r="F71" s="250">
        <v>5028.0</v>
      </c>
      <c r="G71" s="241">
        <v>1681.0</v>
      </c>
      <c r="H71" s="243">
        <v>5380.0</v>
      </c>
      <c r="I71" s="243">
        <v>1329.0</v>
      </c>
      <c r="J71" s="244" t="s">
        <v>152</v>
      </c>
      <c r="K71" s="245" t="s">
        <v>167</v>
      </c>
      <c r="L71" s="246"/>
      <c r="M71" s="247"/>
      <c r="N71" s="109"/>
      <c r="O71" s="109"/>
      <c r="P71" s="109"/>
      <c r="Q71" s="109"/>
      <c r="R71" s="109"/>
    </row>
    <row r="72">
      <c r="A72" s="109"/>
      <c r="B72" s="248" t="s">
        <v>51</v>
      </c>
      <c r="C72" s="238" t="s">
        <v>168</v>
      </c>
      <c r="D72" s="238">
        <v>60.0</v>
      </c>
      <c r="E72" s="239">
        <f>2319/N64</f>
        <v>2319</v>
      </c>
      <c r="F72" s="240">
        <v>1207.0</v>
      </c>
      <c r="G72" s="241">
        <v>1112.0</v>
      </c>
      <c r="H72" s="242">
        <v>1962.0</v>
      </c>
      <c r="I72" s="243">
        <v>357.0</v>
      </c>
      <c r="J72" s="253" t="s">
        <v>58</v>
      </c>
      <c r="K72" s="245" t="s">
        <v>169</v>
      </c>
      <c r="L72" s="246"/>
      <c r="M72" s="247"/>
      <c r="N72" s="109"/>
      <c r="O72" s="109"/>
      <c r="P72" s="109"/>
      <c r="Q72" s="109"/>
      <c r="R72" s="109"/>
    </row>
    <row r="73">
      <c r="A73" s="109"/>
      <c r="B73" s="248" t="s">
        <v>170</v>
      </c>
      <c r="C73" s="263" t="s">
        <v>171</v>
      </c>
      <c r="D73" s="238">
        <v>256.0</v>
      </c>
      <c r="E73" s="239">
        <f>9337/N64</f>
        <v>9337</v>
      </c>
      <c r="F73" s="240">
        <v>5700.0</v>
      </c>
      <c r="G73" s="241">
        <v>3637.0</v>
      </c>
      <c r="H73" s="242">
        <v>8867.0</v>
      </c>
      <c r="I73" s="243">
        <v>470.0</v>
      </c>
      <c r="J73" s="253" t="s">
        <v>152</v>
      </c>
      <c r="K73" s="245" t="s">
        <v>173</v>
      </c>
      <c r="L73" s="246"/>
      <c r="M73" s="247"/>
      <c r="N73" s="109"/>
      <c r="O73" s="109"/>
      <c r="P73" s="109"/>
      <c r="Q73" s="109"/>
      <c r="R73" s="109"/>
    </row>
    <row r="74">
      <c r="A74" s="109"/>
      <c r="B74" s="248" t="s">
        <v>174</v>
      </c>
      <c r="C74" s="265">
        <v>1192884.0</v>
      </c>
      <c r="D74" s="238">
        <v>49.0</v>
      </c>
      <c r="E74" s="239">
        <f>1802/N64</f>
        <v>1802</v>
      </c>
      <c r="F74" s="240">
        <v>1134.0</v>
      </c>
      <c r="G74" s="241">
        <v>668.0</v>
      </c>
      <c r="H74" s="242">
        <v>1428.0</v>
      </c>
      <c r="I74" s="243">
        <v>374.0</v>
      </c>
      <c r="J74" s="253" t="s">
        <v>152</v>
      </c>
      <c r="K74" s="245" t="s">
        <v>175</v>
      </c>
      <c r="L74" s="246"/>
      <c r="M74" s="247"/>
      <c r="N74" s="251" t="s">
        <v>156</v>
      </c>
      <c r="O74" s="109"/>
      <c r="P74" s="109"/>
      <c r="Q74" s="109"/>
      <c r="R74" s="109"/>
    </row>
    <row r="75">
      <c r="A75" s="109"/>
      <c r="B75" s="248" t="s">
        <v>151</v>
      </c>
      <c r="C75" s="265">
        <v>2348177.0</v>
      </c>
      <c r="D75" s="238">
        <v>552.0</v>
      </c>
      <c r="E75" s="239">
        <f>21334/N64</f>
        <v>21334</v>
      </c>
      <c r="F75" s="240">
        <v>11644.0</v>
      </c>
      <c r="G75" s="241">
        <v>9689.0</v>
      </c>
      <c r="H75" s="242">
        <v>17387.0</v>
      </c>
      <c r="I75" s="243">
        <v>3947.0</v>
      </c>
      <c r="J75" s="253" t="s">
        <v>152</v>
      </c>
      <c r="K75" s="245" t="s">
        <v>153</v>
      </c>
      <c r="L75" s="246"/>
      <c r="M75" s="247"/>
      <c r="N75" s="109"/>
      <c r="O75" s="109"/>
      <c r="P75" s="109"/>
      <c r="Q75" s="109"/>
      <c r="R75" s="109"/>
    </row>
    <row r="76">
      <c r="A76" s="109"/>
      <c r="B76" s="248" t="s">
        <v>176</v>
      </c>
      <c r="C76" s="266" t="s">
        <v>177</v>
      </c>
      <c r="D76" s="238">
        <v>350.0</v>
      </c>
      <c r="E76" s="239">
        <f>13527/N64</f>
        <v>13527</v>
      </c>
      <c r="F76" s="240">
        <v>7016.0</v>
      </c>
      <c r="G76" s="241">
        <v>6511.0</v>
      </c>
      <c r="H76" s="242">
        <v>10697.0</v>
      </c>
      <c r="I76" s="243">
        <v>2830.0</v>
      </c>
      <c r="J76" s="253" t="s">
        <v>40</v>
      </c>
      <c r="K76" s="245" t="s">
        <v>178</v>
      </c>
      <c r="L76" s="246"/>
      <c r="M76" s="247"/>
      <c r="N76" s="109"/>
      <c r="O76" s="109"/>
      <c r="P76" s="109"/>
      <c r="Q76" s="109"/>
      <c r="R76" s="109"/>
    </row>
    <row r="77">
      <c r="A77" s="109"/>
      <c r="B77" s="248" t="s">
        <v>179</v>
      </c>
      <c r="C77" s="266" t="s">
        <v>180</v>
      </c>
      <c r="D77" s="238">
        <v>405.0</v>
      </c>
      <c r="E77" s="239">
        <f>15245/N64</f>
        <v>15245</v>
      </c>
      <c r="F77" s="240">
        <v>10610.0</v>
      </c>
      <c r="G77" s="241">
        <v>4635.0</v>
      </c>
      <c r="H77" s="242">
        <v>12883.0</v>
      </c>
      <c r="I77" s="243">
        <v>2362.0</v>
      </c>
      <c r="J77" s="253" t="s">
        <v>152</v>
      </c>
      <c r="K77" s="245" t="s">
        <v>181</v>
      </c>
      <c r="L77" s="246"/>
      <c r="M77" s="247"/>
      <c r="N77" s="109"/>
      <c r="O77" s="109"/>
      <c r="P77" s="109"/>
      <c r="Q77" s="109"/>
      <c r="R77" s="109"/>
    </row>
    <row r="78">
      <c r="A78" s="109"/>
      <c r="B78" s="248" t="s">
        <v>71</v>
      </c>
      <c r="C78" s="265">
        <v>1188167.0</v>
      </c>
      <c r="D78" s="238">
        <v>715.0</v>
      </c>
      <c r="E78" s="239">
        <f>27652/N64</f>
        <v>27652</v>
      </c>
      <c r="F78" s="240">
        <v>14346.0</v>
      </c>
      <c r="G78" s="241">
        <v>13306.0</v>
      </c>
      <c r="H78" s="242">
        <v>16342.0</v>
      </c>
      <c r="I78" s="243">
        <v>11310.0</v>
      </c>
      <c r="J78" s="253" t="s">
        <v>40</v>
      </c>
      <c r="K78" s="245" t="s">
        <v>182</v>
      </c>
      <c r="L78" s="246"/>
      <c r="M78" s="247"/>
      <c r="N78" s="109"/>
      <c r="O78" s="109"/>
      <c r="P78" s="109"/>
      <c r="Q78" s="109"/>
      <c r="R78" s="109"/>
    </row>
    <row r="79">
      <c r="A79" s="109"/>
      <c r="B79" s="254" t="s">
        <v>183</v>
      </c>
      <c r="C79" s="153"/>
      <c r="D79" s="267">
        <f t="shared" ref="D79:I79" si="12">SUM(D70:D78)</f>
        <v>3817</v>
      </c>
      <c r="E79" s="256">
        <f t="shared" si="12"/>
        <v>141564</v>
      </c>
      <c r="F79" s="256">
        <f t="shared" si="12"/>
        <v>86921</v>
      </c>
      <c r="G79" s="256">
        <f t="shared" si="12"/>
        <v>54687</v>
      </c>
      <c r="H79" s="256">
        <f t="shared" si="12"/>
        <v>111021</v>
      </c>
      <c r="I79" s="256">
        <f t="shared" si="12"/>
        <v>35399</v>
      </c>
      <c r="J79" s="257"/>
      <c r="K79" s="258"/>
      <c r="L79" s="258"/>
      <c r="M79" s="259"/>
      <c r="N79" s="109"/>
      <c r="O79" s="109"/>
      <c r="P79" s="109"/>
      <c r="Q79" s="109"/>
      <c r="R79" s="109"/>
    </row>
    <row r="80">
      <c r="A80" s="109"/>
      <c r="B80" s="248" t="s">
        <v>43</v>
      </c>
      <c r="C80" s="265">
        <v>2321177.0</v>
      </c>
      <c r="D80" s="238">
        <v>736.6</v>
      </c>
      <c r="E80" s="239">
        <f>28468/N64</f>
        <v>28468</v>
      </c>
      <c r="F80" s="240">
        <v>12365.0</v>
      </c>
      <c r="G80" s="268">
        <v>16103.0</v>
      </c>
      <c r="H80" s="242">
        <v>14846.0</v>
      </c>
      <c r="I80" s="243">
        <v>13622.0</v>
      </c>
      <c r="J80" s="253" t="s">
        <v>58</v>
      </c>
      <c r="K80" s="245" t="s">
        <v>186</v>
      </c>
      <c r="L80" s="246"/>
      <c r="M80" s="247"/>
      <c r="N80" s="109"/>
      <c r="O80" s="109"/>
      <c r="P80" s="109"/>
      <c r="Q80" s="109"/>
      <c r="R80" s="109"/>
    </row>
    <row r="81">
      <c r="A81" s="109"/>
      <c r="B81" s="248" t="s">
        <v>187</v>
      </c>
      <c r="C81" s="266" t="s">
        <v>188</v>
      </c>
      <c r="D81" s="269">
        <v>1121.0</v>
      </c>
      <c r="E81" s="239">
        <f>45876/N64</f>
        <v>45876</v>
      </c>
      <c r="F81" s="240">
        <v>30302.0</v>
      </c>
      <c r="G81" s="268">
        <v>15574.0</v>
      </c>
      <c r="H81" s="242">
        <v>37327.0</v>
      </c>
      <c r="I81" s="243">
        <v>8549.0</v>
      </c>
      <c r="J81" s="253" t="s">
        <v>58</v>
      </c>
      <c r="K81" s="245" t="s">
        <v>189</v>
      </c>
      <c r="L81" s="246"/>
      <c r="M81" s="247"/>
      <c r="N81" s="109"/>
      <c r="O81" s="109"/>
      <c r="P81" s="109"/>
      <c r="Q81" s="109"/>
      <c r="R81" s="109"/>
    </row>
    <row r="82">
      <c r="A82" s="109"/>
      <c r="B82" s="248" t="s">
        <v>190</v>
      </c>
      <c r="C82" s="266" t="s">
        <v>191</v>
      </c>
      <c r="D82" s="269">
        <v>2116.0</v>
      </c>
      <c r="E82" s="239">
        <f>84896/N64</f>
        <v>84896</v>
      </c>
      <c r="F82" s="240">
        <v>48957.0</v>
      </c>
      <c r="G82" s="241">
        <v>35939.0</v>
      </c>
      <c r="H82" s="242">
        <v>62223.0</v>
      </c>
      <c r="I82" s="243">
        <v>22673.0</v>
      </c>
      <c r="J82" s="253" t="s">
        <v>152</v>
      </c>
      <c r="K82" s="245" t="s">
        <v>192</v>
      </c>
      <c r="L82" s="246"/>
      <c r="M82" s="247"/>
      <c r="N82" s="109"/>
      <c r="O82" s="109"/>
      <c r="P82" s="109"/>
      <c r="Q82" s="109"/>
      <c r="R82" s="109"/>
    </row>
    <row r="83">
      <c r="A83" s="109"/>
      <c r="B83" s="248" t="s">
        <v>193</v>
      </c>
      <c r="C83" s="266" t="s">
        <v>194</v>
      </c>
      <c r="D83" s="238">
        <v>892.0</v>
      </c>
      <c r="E83" s="239">
        <f>36847/N64</f>
        <v>36847</v>
      </c>
      <c r="F83" s="240">
        <v>15765.0</v>
      </c>
      <c r="G83" s="241">
        <v>21082.0</v>
      </c>
      <c r="H83" s="242">
        <v>22714.0</v>
      </c>
      <c r="I83" s="243">
        <v>14133.0</v>
      </c>
      <c r="J83" s="253" t="s">
        <v>40</v>
      </c>
      <c r="K83" s="245" t="s">
        <v>195</v>
      </c>
      <c r="L83" s="246"/>
      <c r="M83" s="247"/>
      <c r="N83" s="109"/>
      <c r="O83" s="109"/>
      <c r="P83" s="109"/>
      <c r="Q83" s="109"/>
      <c r="R83" s="109"/>
    </row>
    <row r="84">
      <c r="A84" s="109"/>
      <c r="B84" s="248" t="s">
        <v>71</v>
      </c>
      <c r="C84" s="266" t="s">
        <v>196</v>
      </c>
      <c r="D84" s="238">
        <v>169.0</v>
      </c>
      <c r="E84" s="239">
        <f>6573/N64</f>
        <v>6573</v>
      </c>
      <c r="F84" s="240">
        <v>3713.0</v>
      </c>
      <c r="G84" s="241">
        <v>2860.0</v>
      </c>
      <c r="H84" s="242">
        <v>5147.0</v>
      </c>
      <c r="I84" s="243">
        <v>1426.0</v>
      </c>
      <c r="J84" s="253" t="s">
        <v>58</v>
      </c>
      <c r="K84" s="245" t="s">
        <v>197</v>
      </c>
      <c r="L84" s="246"/>
      <c r="M84" s="247"/>
      <c r="N84" s="109"/>
      <c r="O84" s="109"/>
      <c r="P84" s="109"/>
      <c r="Q84" s="109"/>
      <c r="R84" s="109"/>
    </row>
    <row r="85">
      <c r="A85" s="109"/>
      <c r="B85" s="248" t="s">
        <v>198</v>
      </c>
      <c r="C85" s="266" t="s">
        <v>199</v>
      </c>
      <c r="D85" s="238">
        <v>78.0</v>
      </c>
      <c r="E85" s="239">
        <f>3034/N64</f>
        <v>3034</v>
      </c>
      <c r="F85" s="240">
        <v>1458.0</v>
      </c>
      <c r="G85" s="241">
        <v>1576.0</v>
      </c>
      <c r="H85" s="242">
        <v>2317.0</v>
      </c>
      <c r="I85" s="243">
        <v>717.0</v>
      </c>
      <c r="J85" s="253" t="s">
        <v>58</v>
      </c>
      <c r="K85" s="245" t="s">
        <v>201</v>
      </c>
      <c r="L85" s="246"/>
      <c r="M85" s="247"/>
      <c r="N85" s="109"/>
      <c r="O85" s="109"/>
      <c r="P85" s="109"/>
      <c r="Q85" s="109"/>
      <c r="R85" s="109"/>
    </row>
    <row r="86">
      <c r="A86" s="109"/>
      <c r="B86" s="248" t="s">
        <v>159</v>
      </c>
      <c r="C86" s="265">
        <v>2287151.0</v>
      </c>
      <c r="D86" s="238">
        <v>806.0</v>
      </c>
      <c r="E86" s="239">
        <f>31385/N64</f>
        <v>31385</v>
      </c>
      <c r="F86" s="240">
        <v>3539.0</v>
      </c>
      <c r="G86" s="241">
        <v>27846.0</v>
      </c>
      <c r="H86" s="242">
        <v>6752.0</v>
      </c>
      <c r="I86" s="243">
        <v>24633.0</v>
      </c>
      <c r="J86" s="253" t="s">
        <v>58</v>
      </c>
      <c r="K86" s="245" t="s">
        <v>202</v>
      </c>
      <c r="L86" s="246"/>
      <c r="M86" s="247"/>
      <c r="N86" s="109"/>
      <c r="O86" s="109"/>
      <c r="P86" s="109"/>
      <c r="Q86" s="109"/>
      <c r="R86" s="109"/>
    </row>
    <row r="87">
      <c r="A87" s="109"/>
      <c r="B87" s="254" t="s">
        <v>203</v>
      </c>
      <c r="C87" s="153"/>
      <c r="D87" s="267">
        <f t="shared" ref="D87:I87" si="13">SUM(D80:D86)</f>
        <v>5918.6</v>
      </c>
      <c r="E87" s="256">
        <f t="shared" si="13"/>
        <v>237079</v>
      </c>
      <c r="F87" s="256">
        <f t="shared" si="13"/>
        <v>116099</v>
      </c>
      <c r="G87" s="256">
        <f t="shared" si="13"/>
        <v>120980</v>
      </c>
      <c r="H87" s="256">
        <f t="shared" si="13"/>
        <v>151326</v>
      </c>
      <c r="I87" s="256">
        <f t="shared" si="13"/>
        <v>85753</v>
      </c>
      <c r="J87" s="257"/>
      <c r="K87" s="258"/>
      <c r="L87" s="258"/>
      <c r="M87" s="259"/>
      <c r="N87" s="109"/>
      <c r="O87" s="109"/>
      <c r="P87" s="109"/>
      <c r="Q87" s="109"/>
      <c r="R87" s="109"/>
    </row>
    <row r="88">
      <c r="A88" s="109"/>
      <c r="B88" s="248" t="s">
        <v>71</v>
      </c>
      <c r="C88" s="265">
        <v>2279662.0</v>
      </c>
      <c r="D88" s="269">
        <v>1258.0</v>
      </c>
      <c r="E88" s="239">
        <f>48986/N64</f>
        <v>48986</v>
      </c>
      <c r="F88" s="240">
        <v>16981.0</v>
      </c>
      <c r="G88" s="241">
        <v>32005.0</v>
      </c>
      <c r="H88" s="242">
        <v>26774.0</v>
      </c>
      <c r="I88" s="243">
        <v>22212.0</v>
      </c>
      <c r="J88" s="253" t="s">
        <v>58</v>
      </c>
      <c r="K88" s="245" t="s">
        <v>204</v>
      </c>
      <c r="L88" s="246"/>
      <c r="M88" s="247"/>
      <c r="N88" s="109"/>
      <c r="O88" s="109"/>
      <c r="P88" s="109"/>
      <c r="Q88" s="109"/>
      <c r="R88" s="109"/>
    </row>
    <row r="89">
      <c r="A89" s="109"/>
      <c r="B89" s="248" t="s">
        <v>205</v>
      </c>
      <c r="C89" s="266" t="s">
        <v>206</v>
      </c>
      <c r="D89" s="238">
        <v>292.0</v>
      </c>
      <c r="E89" s="239">
        <f>12020/N64</f>
        <v>12020</v>
      </c>
      <c r="F89" s="240">
        <v>6600.0</v>
      </c>
      <c r="G89" s="241">
        <v>5420.0</v>
      </c>
      <c r="H89" s="242">
        <v>9979.0</v>
      </c>
      <c r="I89" s="243">
        <v>2041.0</v>
      </c>
      <c r="J89" s="253" t="s">
        <v>58</v>
      </c>
      <c r="K89" s="245" t="s">
        <v>207</v>
      </c>
      <c r="L89" s="246"/>
      <c r="M89" s="247"/>
      <c r="N89" s="109"/>
      <c r="O89" s="109"/>
      <c r="P89" s="109"/>
      <c r="Q89" s="109"/>
      <c r="R89" s="109"/>
    </row>
    <row r="90">
      <c r="A90" s="109"/>
      <c r="B90" s="248" t="s">
        <v>208</v>
      </c>
      <c r="C90" s="266" t="s">
        <v>209</v>
      </c>
      <c r="D90" s="238">
        <v>189.0</v>
      </c>
      <c r="E90" s="239">
        <f>7360/N64</f>
        <v>7360</v>
      </c>
      <c r="F90" s="240">
        <v>4152.0</v>
      </c>
      <c r="G90" s="241">
        <v>3208.0</v>
      </c>
      <c r="H90" s="242">
        <v>5736.0</v>
      </c>
      <c r="I90" s="243">
        <v>1624.0</v>
      </c>
      <c r="J90" s="253" t="s">
        <v>58</v>
      </c>
      <c r="K90" s="245" t="s">
        <v>210</v>
      </c>
      <c r="L90" s="246"/>
      <c r="M90" s="247"/>
      <c r="N90" s="109"/>
      <c r="O90" s="109"/>
      <c r="P90" s="109"/>
      <c r="Q90" s="109"/>
      <c r="R90" s="109"/>
    </row>
    <row r="91">
      <c r="A91" s="109"/>
      <c r="B91" s="248" t="s">
        <v>154</v>
      </c>
      <c r="C91" s="266" t="s">
        <v>211</v>
      </c>
      <c r="D91" s="238">
        <v>252.0</v>
      </c>
      <c r="E91" s="239">
        <f>9813/N64</f>
        <v>9813</v>
      </c>
      <c r="F91" s="240">
        <v>4808.0</v>
      </c>
      <c r="G91" s="241">
        <v>5005.0</v>
      </c>
      <c r="H91" s="242">
        <v>6345.0</v>
      </c>
      <c r="I91" s="243">
        <v>3468.0</v>
      </c>
      <c r="J91" s="253" t="s">
        <v>58</v>
      </c>
      <c r="K91" s="245" t="s">
        <v>212</v>
      </c>
      <c r="L91" s="246"/>
      <c r="M91" s="247"/>
      <c r="N91" s="109"/>
      <c r="O91" s="109"/>
      <c r="P91" s="109"/>
      <c r="Q91" s="109"/>
      <c r="R91" s="109"/>
    </row>
    <row r="92">
      <c r="A92" s="109"/>
      <c r="B92" s="248" t="s">
        <v>98</v>
      </c>
      <c r="C92" s="266" t="s">
        <v>213</v>
      </c>
      <c r="D92" s="238">
        <v>79.0</v>
      </c>
      <c r="E92" s="239">
        <f>3102/N64</f>
        <v>3102</v>
      </c>
      <c r="F92" s="240">
        <v>2794.0</v>
      </c>
      <c r="G92" s="241">
        <v>308.0</v>
      </c>
      <c r="H92" s="242">
        <v>3594.0</v>
      </c>
      <c r="I92" s="243">
        <v>-492.0</v>
      </c>
      <c r="J92" s="253" t="s">
        <v>58</v>
      </c>
      <c r="K92" s="245" t="s">
        <v>216</v>
      </c>
      <c r="L92" s="246"/>
      <c r="M92" s="247"/>
      <c r="N92" s="109"/>
      <c r="O92" s="109"/>
      <c r="P92" s="109"/>
      <c r="Q92" s="109"/>
      <c r="R92" s="109"/>
    </row>
    <row r="93">
      <c r="A93" s="109"/>
      <c r="B93" s="248" t="s">
        <v>217</v>
      </c>
      <c r="C93" s="265">
        <v>1195075.0</v>
      </c>
      <c r="D93" s="238">
        <v>890.0</v>
      </c>
      <c r="E93" s="239">
        <f>34614/N64</f>
        <v>34614</v>
      </c>
      <c r="F93" s="240">
        <v>25155.0</v>
      </c>
      <c r="G93" s="241">
        <v>9459.0</v>
      </c>
      <c r="H93" s="242">
        <v>25155.0</v>
      </c>
      <c r="I93" s="243">
        <v>9459.0</v>
      </c>
      <c r="J93" s="253" t="s">
        <v>40</v>
      </c>
      <c r="K93" s="245" t="s">
        <v>218</v>
      </c>
      <c r="L93" s="246"/>
      <c r="M93" s="247"/>
      <c r="N93" s="109"/>
      <c r="O93" s="109"/>
      <c r="P93" s="109"/>
      <c r="Q93" s="109"/>
      <c r="R93" s="109"/>
    </row>
    <row r="94">
      <c r="A94" s="109"/>
      <c r="B94" s="248" t="s">
        <v>163</v>
      </c>
      <c r="C94" s="265">
        <v>2355451.0</v>
      </c>
      <c r="D94" s="238">
        <v>679.0</v>
      </c>
      <c r="E94" s="239">
        <f>26440/N64</f>
        <v>26440</v>
      </c>
      <c r="F94" s="240">
        <v>19317.0</v>
      </c>
      <c r="G94" s="241">
        <v>7123.0</v>
      </c>
      <c r="H94" s="242">
        <v>20645.0</v>
      </c>
      <c r="I94" s="243">
        <v>5795.0</v>
      </c>
      <c r="J94" s="253" t="s">
        <v>40</v>
      </c>
      <c r="K94" s="245" t="s">
        <v>219</v>
      </c>
      <c r="L94" s="246"/>
      <c r="M94" s="247"/>
      <c r="N94" s="109"/>
      <c r="O94" s="109"/>
      <c r="P94" s="109"/>
      <c r="Q94" s="109"/>
      <c r="R94" s="109"/>
    </row>
    <row r="95">
      <c r="A95" s="109"/>
      <c r="B95" s="248" t="s">
        <v>193</v>
      </c>
      <c r="C95" s="265">
        <v>1189352.0</v>
      </c>
      <c r="D95" s="238">
        <v>13.0</v>
      </c>
      <c r="E95" s="239">
        <f>506/N64</f>
        <v>506</v>
      </c>
      <c r="F95" s="240">
        <v>370.0</v>
      </c>
      <c r="G95" s="241">
        <v>136.0</v>
      </c>
      <c r="H95" s="242">
        <v>370.0</v>
      </c>
      <c r="I95" s="243">
        <v>136.0</v>
      </c>
      <c r="J95" s="253" t="s">
        <v>40</v>
      </c>
      <c r="K95" s="245" t="s">
        <v>220</v>
      </c>
      <c r="L95" s="246"/>
      <c r="M95" s="247"/>
      <c r="N95" s="109"/>
      <c r="O95" s="109"/>
      <c r="P95" s="109"/>
      <c r="Q95" s="109"/>
      <c r="R95" s="109"/>
    </row>
    <row r="96">
      <c r="A96" s="109"/>
      <c r="B96" s="248" t="s">
        <v>221</v>
      </c>
      <c r="C96" s="266" t="s">
        <v>222</v>
      </c>
      <c r="D96" s="238">
        <v>158.0</v>
      </c>
      <c r="E96" s="239">
        <f>6152/N64</f>
        <v>6152</v>
      </c>
      <c r="F96" s="240">
        <v>2607.0</v>
      </c>
      <c r="G96" s="241">
        <v>3546.0</v>
      </c>
      <c r="H96" s="242">
        <v>4971.0</v>
      </c>
      <c r="I96" s="243">
        <v>1182.0</v>
      </c>
      <c r="J96" s="253" t="s">
        <v>58</v>
      </c>
      <c r="K96" s="245" t="s">
        <v>224</v>
      </c>
      <c r="L96" s="246"/>
      <c r="M96" s="247"/>
      <c r="N96" s="109"/>
      <c r="O96" s="109"/>
      <c r="P96" s="109"/>
      <c r="Q96" s="109"/>
      <c r="R96" s="109"/>
    </row>
    <row r="97">
      <c r="A97" s="109"/>
      <c r="B97" s="248" t="s">
        <v>225</v>
      </c>
      <c r="C97" s="266" t="s">
        <v>226</v>
      </c>
      <c r="D97" s="238">
        <v>165.0</v>
      </c>
      <c r="E97" s="239">
        <f>6436/N64</f>
        <v>6436</v>
      </c>
      <c r="F97" s="240">
        <v>4233.0</v>
      </c>
      <c r="G97" s="241">
        <v>2203.0</v>
      </c>
      <c r="H97" s="242">
        <v>4498.0</v>
      </c>
      <c r="I97" s="243">
        <v>1939.0</v>
      </c>
      <c r="J97" s="253" t="s">
        <v>58</v>
      </c>
      <c r="K97" s="245" t="s">
        <v>227</v>
      </c>
      <c r="L97" s="246"/>
      <c r="M97" s="247"/>
      <c r="N97" s="109"/>
      <c r="O97" s="109"/>
      <c r="P97" s="109"/>
      <c r="Q97" s="109"/>
      <c r="R97" s="109"/>
    </row>
    <row r="98">
      <c r="A98" s="109"/>
      <c r="B98" s="248" t="s">
        <v>228</v>
      </c>
      <c r="C98" s="266" t="s">
        <v>229</v>
      </c>
      <c r="D98" s="238">
        <v>198.0</v>
      </c>
      <c r="E98" s="239">
        <f>7710/N64</f>
        <v>7710</v>
      </c>
      <c r="F98" s="240">
        <v>4426.0</v>
      </c>
      <c r="G98" s="241">
        <v>3284.0</v>
      </c>
      <c r="H98" s="242">
        <v>6552.0</v>
      </c>
      <c r="I98" s="243">
        <v>1158.0</v>
      </c>
      <c r="J98" s="253" t="s">
        <v>58</v>
      </c>
      <c r="K98" s="245" t="s">
        <v>230</v>
      </c>
      <c r="L98" s="246"/>
      <c r="M98" s="247"/>
      <c r="N98" s="109"/>
      <c r="O98" s="109"/>
      <c r="P98" s="109"/>
      <c r="Q98" s="109"/>
      <c r="R98" s="109"/>
    </row>
    <row r="99">
      <c r="A99" s="109"/>
      <c r="B99" s="254" t="s">
        <v>231</v>
      </c>
      <c r="C99" s="153"/>
      <c r="D99" s="267">
        <f t="shared" ref="D99:I99" si="14">SUM(D88:D98)</f>
        <v>4173</v>
      </c>
      <c r="E99" s="256">
        <f t="shared" si="14"/>
        <v>163139</v>
      </c>
      <c r="F99" s="256">
        <f t="shared" si="14"/>
        <v>91443</v>
      </c>
      <c r="G99" s="256">
        <f t="shared" si="14"/>
        <v>71697</v>
      </c>
      <c r="H99" s="256">
        <f t="shared" si="14"/>
        <v>114619</v>
      </c>
      <c r="I99" s="256">
        <f t="shared" si="14"/>
        <v>48522</v>
      </c>
      <c r="J99" s="257"/>
      <c r="K99" s="258"/>
      <c r="L99" s="258"/>
      <c r="M99" s="259"/>
      <c r="N99" s="109"/>
      <c r="O99" s="109"/>
      <c r="P99" s="109"/>
      <c r="Q99" s="109"/>
      <c r="R99" s="109"/>
    </row>
    <row r="100">
      <c r="A100" s="109"/>
      <c r="B100" s="248" t="s">
        <v>193</v>
      </c>
      <c r="C100" s="265">
        <v>2354355.0</v>
      </c>
      <c r="D100" s="238">
        <v>88.0</v>
      </c>
      <c r="E100" s="272">
        <f>3427/N64</f>
        <v>3427</v>
      </c>
      <c r="F100" s="273">
        <v>2040.0</v>
      </c>
      <c r="G100" s="274">
        <v>1387.0</v>
      </c>
      <c r="H100" s="273">
        <v>2529.0</v>
      </c>
      <c r="I100" s="272">
        <v>898.0</v>
      </c>
      <c r="J100" s="253" t="s">
        <v>40</v>
      </c>
      <c r="K100" s="275" t="s">
        <v>234</v>
      </c>
      <c r="L100" s="246"/>
      <c r="M100" s="247"/>
      <c r="N100" s="109"/>
      <c r="O100" s="109"/>
      <c r="P100" s="109"/>
      <c r="Q100" s="109"/>
      <c r="R100" s="109"/>
    </row>
    <row r="101">
      <c r="A101" s="109"/>
      <c r="B101" s="248" t="s">
        <v>71</v>
      </c>
      <c r="C101" s="266" t="s">
        <v>235</v>
      </c>
      <c r="D101" s="276">
        <v>1853.0</v>
      </c>
      <c r="E101" s="272">
        <f>72617/N64</f>
        <v>72617</v>
      </c>
      <c r="F101" s="273">
        <v>50199.0</v>
      </c>
      <c r="G101" s="274">
        <v>22417.0</v>
      </c>
      <c r="H101" s="273">
        <v>58518.0</v>
      </c>
      <c r="I101" s="272">
        <v>14099.0</v>
      </c>
      <c r="J101" s="278" t="s">
        <v>58</v>
      </c>
      <c r="K101" s="275" t="s">
        <v>236</v>
      </c>
      <c r="L101" s="246"/>
      <c r="M101" s="247"/>
      <c r="N101" s="109"/>
      <c r="O101" s="109"/>
      <c r="P101" s="109"/>
      <c r="Q101" s="109"/>
      <c r="R101" s="109"/>
    </row>
    <row r="102">
      <c r="A102" s="109"/>
      <c r="B102" s="248" t="s">
        <v>71</v>
      </c>
      <c r="C102" s="266" t="s">
        <v>237</v>
      </c>
      <c r="D102" s="269">
        <v>1930.0</v>
      </c>
      <c r="E102" s="239">
        <f>75153/N64</f>
        <v>75153</v>
      </c>
      <c r="F102" s="240">
        <v>44602.0</v>
      </c>
      <c r="G102" s="241">
        <v>30550.0</v>
      </c>
      <c r="H102" s="242">
        <v>54940.0</v>
      </c>
      <c r="I102" s="243">
        <v>20212.0</v>
      </c>
      <c r="J102" s="253" t="s">
        <v>58</v>
      </c>
      <c r="K102" s="245" t="s">
        <v>238</v>
      </c>
      <c r="L102" s="246"/>
      <c r="M102" s="247"/>
      <c r="N102" s="109"/>
      <c r="O102" s="109"/>
      <c r="P102" s="109"/>
      <c r="Q102" s="109"/>
      <c r="R102" s="109"/>
    </row>
    <row r="103">
      <c r="A103" s="109"/>
      <c r="B103" s="248" t="s">
        <v>239</v>
      </c>
      <c r="C103" s="266" t="s">
        <v>240</v>
      </c>
      <c r="D103" s="238">
        <v>701.0</v>
      </c>
      <c r="E103" s="239">
        <f>27296/N64</f>
        <v>27296</v>
      </c>
      <c r="F103" s="240">
        <v>16854.0</v>
      </c>
      <c r="G103" s="241">
        <v>10442.0</v>
      </c>
      <c r="H103" s="242">
        <v>22003.0</v>
      </c>
      <c r="I103" s="243">
        <v>5294.0</v>
      </c>
      <c r="J103" s="253" t="s">
        <v>58</v>
      </c>
      <c r="K103" s="245" t="s">
        <v>241</v>
      </c>
      <c r="L103" s="246"/>
      <c r="M103" s="247"/>
      <c r="N103" s="109"/>
      <c r="O103" s="109"/>
      <c r="P103" s="109"/>
      <c r="Q103" s="109"/>
      <c r="R103" s="109"/>
    </row>
    <row r="104">
      <c r="A104" s="109"/>
      <c r="B104" s="254" t="s">
        <v>242</v>
      </c>
      <c r="C104" s="153"/>
      <c r="D104" s="267">
        <f t="shared" ref="D104:I104" si="15">SUM(D100:D103)</f>
        <v>4572</v>
      </c>
      <c r="E104" s="256">
        <f t="shared" si="15"/>
        <v>178493</v>
      </c>
      <c r="F104" s="256">
        <f t="shared" si="15"/>
        <v>113695</v>
      </c>
      <c r="G104" s="256">
        <f t="shared" si="15"/>
        <v>64796</v>
      </c>
      <c r="H104" s="256">
        <f t="shared" si="15"/>
        <v>137990</v>
      </c>
      <c r="I104" s="256">
        <f t="shared" si="15"/>
        <v>40503</v>
      </c>
      <c r="J104" s="257"/>
      <c r="K104" s="258"/>
      <c r="L104" s="258"/>
      <c r="M104" s="259"/>
      <c r="N104" s="109"/>
      <c r="O104" s="109"/>
      <c r="P104" s="109"/>
      <c r="Q104" s="109"/>
      <c r="R104" s="109"/>
    </row>
    <row r="105">
      <c r="A105" s="109"/>
      <c r="B105" s="281" t="s">
        <v>244</v>
      </c>
      <c r="C105" s="282" t="s">
        <v>245</v>
      </c>
      <c r="D105" s="283">
        <f>246*N105</f>
        <v>0</v>
      </c>
      <c r="E105" s="284">
        <f>9579/N64*N105</f>
        <v>0</v>
      </c>
      <c r="F105" s="240">
        <f>5367*N105</f>
        <v>0</v>
      </c>
      <c r="G105" s="285">
        <f>4212*N105</f>
        <v>0</v>
      </c>
      <c r="H105" s="285">
        <f>7722*N105</f>
        <v>0</v>
      </c>
      <c r="I105" s="285">
        <f>1857*N105</f>
        <v>0</v>
      </c>
      <c r="J105" s="286" t="s">
        <v>58</v>
      </c>
      <c r="K105" s="287" t="s">
        <v>246</v>
      </c>
      <c r="L105" s="288"/>
      <c r="M105" s="289"/>
      <c r="N105" s="211">
        <v>0.0</v>
      </c>
      <c r="O105" s="109"/>
      <c r="P105" s="109"/>
      <c r="Q105" s="109"/>
      <c r="R105" s="109"/>
    </row>
    <row r="106">
      <c r="A106" s="109"/>
      <c r="B106" s="290" t="s">
        <v>247</v>
      </c>
      <c r="C106" s="291" t="s">
        <v>248</v>
      </c>
      <c r="D106" s="292">
        <v>500.0</v>
      </c>
      <c r="E106" s="293">
        <f>19646/N64</f>
        <v>19646</v>
      </c>
      <c r="F106" s="294">
        <v>9200.0</v>
      </c>
      <c r="G106" s="295">
        <v>10446.0</v>
      </c>
      <c r="H106" s="285">
        <v>15342.0</v>
      </c>
      <c r="I106" s="296">
        <v>4304.0</v>
      </c>
      <c r="J106" s="297" t="s">
        <v>40</v>
      </c>
      <c r="K106" s="298" t="s">
        <v>251</v>
      </c>
      <c r="L106" s="246"/>
      <c r="M106" s="247"/>
      <c r="N106" s="109"/>
      <c r="O106" s="109"/>
      <c r="P106" s="109"/>
      <c r="Q106" s="109"/>
      <c r="R106" s="109"/>
    </row>
    <row r="107">
      <c r="A107" s="109"/>
      <c r="B107" s="299" t="s">
        <v>228</v>
      </c>
      <c r="C107" s="291" t="s">
        <v>252</v>
      </c>
      <c r="D107" s="292">
        <v>3627.0</v>
      </c>
      <c r="E107" s="293">
        <f>161677/N64</f>
        <v>161677</v>
      </c>
      <c r="F107" s="294">
        <v>91711.0</v>
      </c>
      <c r="G107" s="295">
        <v>51075.0</v>
      </c>
      <c r="H107" s="285">
        <v>114744.0</v>
      </c>
      <c r="I107" s="296">
        <v>28042.0</v>
      </c>
      <c r="J107" s="297" t="s">
        <v>152</v>
      </c>
      <c r="K107" s="298" t="s">
        <v>253</v>
      </c>
      <c r="L107" s="246"/>
      <c r="M107" s="247"/>
      <c r="N107" s="109"/>
      <c r="O107" s="109"/>
      <c r="P107" s="109"/>
      <c r="Q107" s="109"/>
      <c r="R107" s="109"/>
    </row>
    <row r="108">
      <c r="A108" s="109"/>
      <c r="B108" s="299" t="s">
        <v>254</v>
      </c>
      <c r="C108" s="291" t="s">
        <v>255</v>
      </c>
      <c r="D108" s="292">
        <v>785.0</v>
      </c>
      <c r="E108" s="239">
        <v>30825.0</v>
      </c>
      <c r="F108" s="294">
        <v>9673.0</v>
      </c>
      <c r="G108" s="295">
        <v>21152.0</v>
      </c>
      <c r="H108" s="285">
        <v>23897.0</v>
      </c>
      <c r="I108" s="296">
        <v>6928.0</v>
      </c>
      <c r="J108" s="297" t="s">
        <v>152</v>
      </c>
      <c r="K108" s="298" t="s">
        <v>258</v>
      </c>
      <c r="L108" s="246"/>
      <c r="M108" s="247"/>
      <c r="N108" s="109"/>
      <c r="O108" s="109"/>
      <c r="P108" s="109"/>
      <c r="Q108" s="109"/>
      <c r="R108" s="109"/>
    </row>
    <row r="109">
      <c r="A109" s="109"/>
      <c r="B109" s="299" t="s">
        <v>259</v>
      </c>
      <c r="C109" s="291" t="s">
        <v>260</v>
      </c>
      <c r="D109" s="292">
        <v>146.0</v>
      </c>
      <c r="E109" s="293">
        <f>5838/N64</f>
        <v>5838</v>
      </c>
      <c r="F109" s="294">
        <v>4003.0</v>
      </c>
      <c r="G109" s="295">
        <v>1835.0</v>
      </c>
      <c r="H109" s="285">
        <v>4003.0</v>
      </c>
      <c r="I109" s="296">
        <v>1835.0</v>
      </c>
      <c r="J109" s="297" t="s">
        <v>40</v>
      </c>
      <c r="K109" s="298" t="s">
        <v>261</v>
      </c>
      <c r="L109" s="246"/>
      <c r="M109" s="247"/>
      <c r="N109" s="109"/>
      <c r="O109" s="109"/>
      <c r="P109" s="109"/>
      <c r="Q109" s="109"/>
      <c r="R109" s="109"/>
    </row>
    <row r="110">
      <c r="A110" s="109"/>
      <c r="B110" s="254" t="s">
        <v>262</v>
      </c>
      <c r="C110" s="153"/>
      <c r="D110" s="267">
        <f t="shared" ref="D110:I110" si="16">SUM(D105:D109)</f>
        <v>5058</v>
      </c>
      <c r="E110" s="256">
        <f t="shared" si="16"/>
        <v>217986</v>
      </c>
      <c r="F110" s="256">
        <f t="shared" si="16"/>
        <v>114587</v>
      </c>
      <c r="G110" s="256">
        <f t="shared" si="16"/>
        <v>84508</v>
      </c>
      <c r="H110" s="256">
        <f t="shared" si="16"/>
        <v>157986</v>
      </c>
      <c r="I110" s="256">
        <f t="shared" si="16"/>
        <v>41109</v>
      </c>
      <c r="J110" s="257"/>
      <c r="K110" s="258"/>
      <c r="L110" s="258"/>
      <c r="M110" s="259"/>
      <c r="N110" s="109"/>
      <c r="O110" s="109"/>
      <c r="P110" s="109"/>
      <c r="Q110" s="109"/>
      <c r="R110" s="109"/>
    </row>
    <row r="111">
      <c r="A111" s="109"/>
      <c r="B111" s="300" t="s">
        <v>247</v>
      </c>
      <c r="C111" s="265">
        <v>2360564.0</v>
      </c>
      <c r="D111" s="260">
        <v>500.0</v>
      </c>
      <c r="E111" s="239">
        <f>19646/N64</f>
        <v>19646</v>
      </c>
      <c r="F111" s="240">
        <v>10565.0</v>
      </c>
      <c r="G111" s="241">
        <v>9081.0</v>
      </c>
      <c r="H111" s="242">
        <v>17216.0</v>
      </c>
      <c r="I111" s="243">
        <v>2430.0</v>
      </c>
      <c r="J111" s="253" t="s">
        <v>40</v>
      </c>
      <c r="K111" s="245" t="s">
        <v>265</v>
      </c>
      <c r="L111" s="246"/>
      <c r="M111" s="247"/>
      <c r="N111" s="109"/>
      <c r="O111" s="109"/>
      <c r="P111" s="109"/>
      <c r="Q111" s="109"/>
      <c r="R111" s="109"/>
    </row>
    <row r="112">
      <c r="A112" s="109"/>
      <c r="B112" s="248" t="s">
        <v>266</v>
      </c>
      <c r="C112" s="301" t="s">
        <v>267</v>
      </c>
      <c r="D112" s="292">
        <v>3126.0</v>
      </c>
      <c r="E112" s="293">
        <f>121891/N64</f>
        <v>121891</v>
      </c>
      <c r="F112" s="294">
        <v>85022.0</v>
      </c>
      <c r="G112" s="295">
        <v>36869.0</v>
      </c>
      <c r="H112" s="285">
        <v>100174.0</v>
      </c>
      <c r="I112" s="296">
        <v>21717.0</v>
      </c>
      <c r="J112" s="297" t="s">
        <v>58</v>
      </c>
      <c r="K112" s="245" t="s">
        <v>268</v>
      </c>
      <c r="L112" s="246"/>
      <c r="M112" s="247"/>
      <c r="N112" s="109"/>
      <c r="O112" s="109"/>
      <c r="P112" s="109"/>
      <c r="Q112" s="109"/>
      <c r="R112" s="109"/>
    </row>
    <row r="113">
      <c r="A113" s="109"/>
      <c r="B113" s="248" t="s">
        <v>151</v>
      </c>
      <c r="C113" s="266" t="s">
        <v>269</v>
      </c>
      <c r="D113" s="260">
        <v>1017.0</v>
      </c>
      <c r="E113" s="239">
        <v>39644.0</v>
      </c>
      <c r="F113" s="240">
        <v>20948.0</v>
      </c>
      <c r="G113" s="241">
        <v>18697.0</v>
      </c>
      <c r="H113" s="242">
        <v>23379.0</v>
      </c>
      <c r="I113" s="243">
        <v>16265.0</v>
      </c>
      <c r="J113" s="253" t="s">
        <v>152</v>
      </c>
      <c r="K113" s="245" t="s">
        <v>270</v>
      </c>
      <c r="L113" s="246"/>
      <c r="M113" s="247"/>
      <c r="N113" s="109"/>
      <c r="O113" s="109"/>
      <c r="P113" s="109"/>
      <c r="Q113" s="109"/>
      <c r="R113" s="109"/>
    </row>
    <row r="114">
      <c r="A114" s="109"/>
      <c r="B114" s="248" t="s">
        <v>271</v>
      </c>
      <c r="C114" s="266" t="s">
        <v>272</v>
      </c>
      <c r="D114" s="260">
        <v>3987.0</v>
      </c>
      <c r="E114" s="239">
        <v>156520.0</v>
      </c>
      <c r="F114" s="240">
        <v>96767.0</v>
      </c>
      <c r="G114" s="268">
        <v>59753.0</v>
      </c>
      <c r="H114" s="242">
        <v>115938.0</v>
      </c>
      <c r="I114" s="243">
        <v>40583.0</v>
      </c>
      <c r="J114" s="253" t="s">
        <v>58</v>
      </c>
      <c r="K114" s="245" t="s">
        <v>275</v>
      </c>
      <c r="L114" s="246"/>
      <c r="M114" s="247"/>
      <c r="N114" s="109"/>
      <c r="O114" s="109"/>
      <c r="P114" s="109"/>
      <c r="Q114" s="109"/>
      <c r="R114" s="109"/>
    </row>
    <row r="115">
      <c r="A115" s="109"/>
      <c r="B115" s="248" t="s">
        <v>276</v>
      </c>
      <c r="C115" s="266" t="s">
        <v>277</v>
      </c>
      <c r="D115" s="260">
        <v>546.0</v>
      </c>
      <c r="E115" s="239">
        <v>21407.0</v>
      </c>
      <c r="F115" s="240">
        <v>17147.0</v>
      </c>
      <c r="G115" s="241">
        <v>4260.0</v>
      </c>
      <c r="H115" s="242">
        <v>17147.0</v>
      </c>
      <c r="I115" s="243">
        <v>4260.0</v>
      </c>
      <c r="J115" s="253" t="s">
        <v>58</v>
      </c>
      <c r="K115" s="245" t="s">
        <v>279</v>
      </c>
      <c r="L115" s="246"/>
      <c r="M115" s="247"/>
      <c r="N115" s="109"/>
      <c r="O115" s="109"/>
      <c r="P115" s="109"/>
      <c r="Q115" s="109"/>
      <c r="R115" s="109"/>
    </row>
    <row r="116">
      <c r="A116" s="109"/>
      <c r="B116" s="248" t="s">
        <v>43</v>
      </c>
      <c r="C116" s="266" t="s">
        <v>280</v>
      </c>
      <c r="D116" s="260">
        <v>6193.68</v>
      </c>
      <c r="E116" s="239">
        <v>242662.0</v>
      </c>
      <c r="F116" s="240">
        <v>92803.0</v>
      </c>
      <c r="G116" s="307">
        <f>149860/2</f>
        <v>74930</v>
      </c>
      <c r="H116" s="242">
        <v>151503.0</v>
      </c>
      <c r="I116" s="243">
        <v>91159.0</v>
      </c>
      <c r="J116" s="253" t="s">
        <v>58</v>
      </c>
      <c r="K116" s="245" t="s">
        <v>281</v>
      </c>
      <c r="L116" s="246"/>
      <c r="M116" s="247"/>
      <c r="N116" s="109"/>
      <c r="O116" s="109"/>
      <c r="P116" s="109"/>
      <c r="Q116" s="109"/>
      <c r="R116" s="109"/>
    </row>
    <row r="117">
      <c r="A117" s="109"/>
      <c r="B117" s="254" t="s">
        <v>282</v>
      </c>
      <c r="C117" s="153"/>
      <c r="D117" s="267">
        <f t="shared" ref="D117:I117" si="17">SUM(D111:D116)</f>
        <v>15369.68</v>
      </c>
      <c r="E117" s="256">
        <f t="shared" si="17"/>
        <v>601770</v>
      </c>
      <c r="F117" s="256">
        <f t="shared" si="17"/>
        <v>323252</v>
      </c>
      <c r="G117" s="256">
        <f t="shared" si="17"/>
        <v>203590</v>
      </c>
      <c r="H117" s="256">
        <f t="shared" si="17"/>
        <v>425357</v>
      </c>
      <c r="I117" s="256">
        <f t="shared" si="17"/>
        <v>176414</v>
      </c>
      <c r="J117" s="257"/>
      <c r="K117" s="258"/>
      <c r="L117" s="258"/>
      <c r="M117" s="259"/>
      <c r="N117" s="109"/>
      <c r="O117" s="109"/>
      <c r="P117" s="109"/>
      <c r="Q117" s="109"/>
      <c r="R117" s="109"/>
    </row>
    <row r="118">
      <c r="A118" s="109"/>
      <c r="B118" s="248" t="s">
        <v>283</v>
      </c>
      <c r="C118" s="266" t="s">
        <v>284</v>
      </c>
      <c r="D118" s="260">
        <v>250.0</v>
      </c>
      <c r="E118" s="239">
        <v>9770.0</v>
      </c>
      <c r="F118" s="240">
        <v>7359.0</v>
      </c>
      <c r="G118" s="241">
        <v>2410.0</v>
      </c>
      <c r="H118" s="242">
        <v>7412.0</v>
      </c>
      <c r="I118" s="243">
        <v>2358.0</v>
      </c>
      <c r="J118" s="253" t="s">
        <v>40</v>
      </c>
      <c r="K118" s="245" t="s">
        <v>285</v>
      </c>
      <c r="L118" s="246"/>
      <c r="M118" s="247"/>
      <c r="N118" s="109"/>
      <c r="O118" s="109"/>
      <c r="P118" s="109"/>
      <c r="Q118" s="109"/>
      <c r="R118" s="109"/>
    </row>
    <row r="119">
      <c r="A119" s="109"/>
      <c r="B119" s="300" t="s">
        <v>286</v>
      </c>
      <c r="C119" s="266" t="s">
        <v>287</v>
      </c>
      <c r="D119" s="260">
        <v>89.0</v>
      </c>
      <c r="E119" s="239">
        <v>3487.0</v>
      </c>
      <c r="F119" s="240">
        <v>1087.0</v>
      </c>
      <c r="G119" s="241">
        <v>2400.0</v>
      </c>
      <c r="H119" s="242">
        <v>2823.0</v>
      </c>
      <c r="I119" s="243">
        <v>664.0</v>
      </c>
      <c r="J119" s="253" t="s">
        <v>58</v>
      </c>
      <c r="K119" s="245" t="s">
        <v>288</v>
      </c>
      <c r="L119" s="246"/>
      <c r="M119" s="247"/>
      <c r="N119" s="109"/>
      <c r="O119" s="109"/>
      <c r="P119" s="109"/>
      <c r="Q119" s="109"/>
      <c r="R119" s="109"/>
    </row>
    <row r="120">
      <c r="A120" s="109"/>
      <c r="B120" s="248" t="s">
        <v>71</v>
      </c>
      <c r="C120" s="266" t="s">
        <v>290</v>
      </c>
      <c r="D120" s="260">
        <v>93.0</v>
      </c>
      <c r="E120" s="239">
        <v>3616.0</v>
      </c>
      <c r="F120" s="240">
        <v>1375.0</v>
      </c>
      <c r="G120" s="241">
        <v>2240.0</v>
      </c>
      <c r="H120" s="242">
        <v>2356.0</v>
      </c>
      <c r="I120" s="243">
        <v>1260.0</v>
      </c>
      <c r="J120" s="253" t="s">
        <v>40</v>
      </c>
      <c r="K120" s="245" t="s">
        <v>291</v>
      </c>
      <c r="L120" s="246"/>
      <c r="M120" s="247"/>
      <c r="N120" s="109"/>
      <c r="O120" s="109"/>
      <c r="P120" s="109"/>
      <c r="Q120" s="109"/>
      <c r="R120" s="109"/>
    </row>
    <row r="121">
      <c r="A121" s="109"/>
      <c r="B121" s="248" t="s">
        <v>292</v>
      </c>
      <c r="C121" s="266" t="s">
        <v>293</v>
      </c>
      <c r="D121" s="260">
        <v>727.0</v>
      </c>
      <c r="E121" s="239">
        <v>26232.0</v>
      </c>
      <c r="F121" s="240">
        <v>14624.0</v>
      </c>
      <c r="G121" s="241">
        <v>11609.0</v>
      </c>
      <c r="H121" s="242">
        <v>19429.0</v>
      </c>
      <c r="I121" s="243">
        <v>6803.0</v>
      </c>
      <c r="J121" s="253" t="s">
        <v>58</v>
      </c>
      <c r="K121" s="245" t="s">
        <v>294</v>
      </c>
      <c r="L121" s="246"/>
      <c r="M121" s="247"/>
      <c r="N121" s="109"/>
      <c r="O121" s="109"/>
      <c r="P121" s="109"/>
      <c r="Q121" s="109"/>
      <c r="R121" s="109"/>
    </row>
    <row r="122">
      <c r="A122" s="109"/>
      <c r="B122" s="248" t="s">
        <v>295</v>
      </c>
      <c r="C122" s="266" t="s">
        <v>296</v>
      </c>
      <c r="D122" s="260">
        <v>727.0</v>
      </c>
      <c r="E122" s="239">
        <v>26211.0</v>
      </c>
      <c r="F122" s="240">
        <v>14624.0</v>
      </c>
      <c r="G122" s="241">
        <v>11587.0</v>
      </c>
      <c r="H122" s="242">
        <v>19429.0</v>
      </c>
      <c r="I122" s="243">
        <v>6782.0</v>
      </c>
      <c r="J122" s="253" t="s">
        <v>58</v>
      </c>
      <c r="K122" s="245" t="s">
        <v>297</v>
      </c>
      <c r="L122" s="246"/>
      <c r="M122" s="247"/>
      <c r="N122" s="109"/>
      <c r="O122" s="109"/>
      <c r="P122" s="109"/>
      <c r="Q122" s="109"/>
      <c r="R122" s="109"/>
    </row>
    <row r="123">
      <c r="A123" s="109"/>
      <c r="B123" s="248" t="s">
        <v>193</v>
      </c>
      <c r="C123" s="265">
        <v>1190752.0</v>
      </c>
      <c r="D123" s="260">
        <v>415.2</v>
      </c>
      <c r="E123" s="239">
        <v>16333.0</v>
      </c>
      <c r="F123" s="240">
        <v>4542.0</v>
      </c>
      <c r="G123" s="241">
        <v>11791.0</v>
      </c>
      <c r="H123" s="242">
        <v>7634.0</v>
      </c>
      <c r="I123" s="243">
        <v>8699.0</v>
      </c>
      <c r="J123" s="253" t="s">
        <v>40</v>
      </c>
      <c r="K123" s="245" t="s">
        <v>298</v>
      </c>
      <c r="L123" s="246"/>
      <c r="M123" s="247"/>
      <c r="N123" s="109"/>
      <c r="O123" s="109"/>
      <c r="P123" s="109"/>
      <c r="Q123" s="109"/>
      <c r="R123" s="109"/>
    </row>
    <row r="124">
      <c r="A124" s="109"/>
      <c r="B124" s="248" t="s">
        <v>187</v>
      </c>
      <c r="C124" s="265">
        <v>1200189.0</v>
      </c>
      <c r="D124" s="260">
        <v>44.0</v>
      </c>
      <c r="E124" s="239">
        <v>1724.0</v>
      </c>
      <c r="F124" s="240">
        <v>1620.0</v>
      </c>
      <c r="G124" s="241">
        <v>121.0</v>
      </c>
      <c r="H124" s="242">
        <v>1620.0</v>
      </c>
      <c r="I124" s="243">
        <v>121.0</v>
      </c>
      <c r="J124" s="253" t="s">
        <v>152</v>
      </c>
      <c r="K124" s="245" t="s">
        <v>299</v>
      </c>
      <c r="L124" s="246"/>
      <c r="M124" s="247"/>
      <c r="N124" s="109"/>
      <c r="O124" s="109"/>
      <c r="P124" s="109"/>
      <c r="Q124" s="109"/>
      <c r="R124" s="109"/>
    </row>
    <row r="125">
      <c r="A125" s="109"/>
      <c r="B125" s="254" t="s">
        <v>302</v>
      </c>
      <c r="C125" s="153"/>
      <c r="D125" s="267">
        <f t="shared" ref="D125:I125" si="18">SUM(D118:D124)</f>
        <v>2345.2</v>
      </c>
      <c r="E125" s="256">
        <f t="shared" si="18"/>
        <v>87373</v>
      </c>
      <c r="F125" s="256">
        <f t="shared" si="18"/>
        <v>45231</v>
      </c>
      <c r="G125" s="256">
        <f t="shared" si="18"/>
        <v>42158</v>
      </c>
      <c r="H125" s="256">
        <f t="shared" si="18"/>
        <v>60703</v>
      </c>
      <c r="I125" s="256">
        <f t="shared" si="18"/>
        <v>26687</v>
      </c>
      <c r="J125" s="257"/>
      <c r="K125" s="258"/>
      <c r="L125" s="258"/>
      <c r="M125" s="259"/>
      <c r="N125" s="109"/>
      <c r="O125" s="109"/>
      <c r="P125" s="109"/>
      <c r="Q125" s="109"/>
      <c r="R125" s="109"/>
    </row>
    <row r="126">
      <c r="A126" s="109"/>
      <c r="B126" s="315" t="s">
        <v>303</v>
      </c>
      <c r="C126" s="291" t="s">
        <v>304</v>
      </c>
      <c r="D126" s="292">
        <v>129.0</v>
      </c>
      <c r="E126" s="293">
        <v>5054.0</v>
      </c>
      <c r="F126" s="294">
        <v>4024.0</v>
      </c>
      <c r="G126" s="295">
        <v>1030.0</v>
      </c>
      <c r="H126" s="285">
        <v>4276.0</v>
      </c>
      <c r="I126" s="296">
        <v>779.0</v>
      </c>
      <c r="J126" s="297" t="s">
        <v>58</v>
      </c>
      <c r="K126" s="298" t="s">
        <v>305</v>
      </c>
      <c r="L126" s="246"/>
      <c r="M126" s="247"/>
      <c r="N126" s="109"/>
      <c r="O126" s="109"/>
      <c r="P126" s="109"/>
      <c r="Q126" s="109"/>
      <c r="R126" s="109"/>
    </row>
    <row r="127">
      <c r="A127" s="109"/>
      <c r="B127" s="316" t="s">
        <v>303</v>
      </c>
      <c r="C127" s="266" t="s">
        <v>306</v>
      </c>
      <c r="D127" s="260">
        <v>279.0</v>
      </c>
      <c r="E127" s="239">
        <v>10920.0</v>
      </c>
      <c r="F127" s="273">
        <v>5937.0</v>
      </c>
      <c r="G127" s="274">
        <v>4983.0</v>
      </c>
      <c r="H127" s="273">
        <v>8991.0</v>
      </c>
      <c r="I127" s="250">
        <v>1929.0</v>
      </c>
      <c r="J127" s="253" t="s">
        <v>58</v>
      </c>
      <c r="K127" s="275" t="s">
        <v>307</v>
      </c>
      <c r="L127" s="246"/>
      <c r="M127" s="247"/>
      <c r="N127" s="109"/>
      <c r="O127" s="109"/>
      <c r="P127" s="109"/>
      <c r="Q127" s="109"/>
      <c r="R127" s="109"/>
    </row>
    <row r="128">
      <c r="A128" s="109"/>
      <c r="B128" s="299" t="s">
        <v>308</v>
      </c>
      <c r="C128" s="291">
        <v>1198363.0</v>
      </c>
      <c r="D128" s="292">
        <v>914.8</v>
      </c>
      <c r="E128" s="293">
        <v>36112.0</v>
      </c>
      <c r="F128" s="294">
        <v>11362.0</v>
      </c>
      <c r="G128" s="295">
        <v>24750.0</v>
      </c>
      <c r="H128" s="285">
        <v>24664.0</v>
      </c>
      <c r="I128" s="296">
        <v>11448.0</v>
      </c>
      <c r="J128" s="297" t="s">
        <v>40</v>
      </c>
      <c r="K128" s="298" t="s">
        <v>309</v>
      </c>
      <c r="L128" s="246"/>
      <c r="M128" s="247"/>
      <c r="N128" s="109"/>
      <c r="O128" s="109"/>
      <c r="P128" s="109"/>
      <c r="Q128" s="109"/>
      <c r="R128" s="109"/>
    </row>
    <row r="129">
      <c r="A129" s="109"/>
      <c r="B129" s="299" t="s">
        <v>311</v>
      </c>
      <c r="C129" s="291" t="s">
        <v>312</v>
      </c>
      <c r="D129" s="292">
        <v>33.0</v>
      </c>
      <c r="E129" s="293">
        <v>1282.0</v>
      </c>
      <c r="F129" s="294">
        <v>306.0</v>
      </c>
      <c r="G129" s="295">
        <v>976.0</v>
      </c>
      <c r="H129" s="285">
        <v>839.0</v>
      </c>
      <c r="I129" s="296">
        <v>443.0</v>
      </c>
      <c r="J129" s="297" t="s">
        <v>58</v>
      </c>
      <c r="K129" s="298" t="s">
        <v>313</v>
      </c>
      <c r="L129" s="246"/>
      <c r="M129" s="247"/>
      <c r="N129" s="109"/>
      <c r="O129" s="109"/>
      <c r="P129" s="109"/>
      <c r="Q129" s="109"/>
      <c r="R129" s="109"/>
    </row>
    <row r="130">
      <c r="A130" s="109"/>
      <c r="B130" s="299" t="s">
        <v>314</v>
      </c>
      <c r="C130" s="301" t="s">
        <v>315</v>
      </c>
      <c r="D130" s="292">
        <v>241.0</v>
      </c>
      <c r="E130" s="293">
        <v>9442.0</v>
      </c>
      <c r="F130" s="294">
        <v>3002.0</v>
      </c>
      <c r="G130" s="295">
        <v>6440.0</v>
      </c>
      <c r="H130" s="285">
        <v>6638.0</v>
      </c>
      <c r="I130" s="296">
        <v>2804.0</v>
      </c>
      <c r="J130" s="297" t="s">
        <v>58</v>
      </c>
      <c r="K130" s="298" t="s">
        <v>316</v>
      </c>
      <c r="L130" s="246"/>
      <c r="M130" s="247"/>
      <c r="N130" s="109"/>
      <c r="O130" s="109"/>
      <c r="P130" s="109"/>
      <c r="Q130" s="109"/>
      <c r="R130" s="109"/>
    </row>
    <row r="131">
      <c r="A131" s="109"/>
      <c r="B131" s="248" t="s">
        <v>256</v>
      </c>
      <c r="C131" s="266" t="s">
        <v>317</v>
      </c>
      <c r="D131" s="260"/>
      <c r="E131" s="239"/>
      <c r="F131" s="294"/>
      <c r="G131" s="242"/>
      <c r="H131" s="285"/>
      <c r="I131" s="243"/>
      <c r="J131" s="253" t="s">
        <v>58</v>
      </c>
      <c r="K131" s="245" t="s">
        <v>318</v>
      </c>
      <c r="L131" s="246"/>
      <c r="M131" s="247"/>
      <c r="N131" s="109"/>
      <c r="O131" s="109"/>
      <c r="P131" s="109"/>
      <c r="Q131" s="109"/>
      <c r="R131" s="109"/>
    </row>
    <row r="132">
      <c r="A132" s="109"/>
      <c r="B132" s="299" t="s">
        <v>159</v>
      </c>
      <c r="C132" s="301" t="s">
        <v>319</v>
      </c>
      <c r="D132" s="292">
        <v>806.0</v>
      </c>
      <c r="E132" s="293">
        <v>31578.0</v>
      </c>
      <c r="F132" s="294">
        <v>3636.0</v>
      </c>
      <c r="G132" s="295">
        <v>27942.0</v>
      </c>
      <c r="H132" s="285">
        <v>6416.0</v>
      </c>
      <c r="I132" s="296">
        <v>25162.0</v>
      </c>
      <c r="J132" s="297" t="s">
        <v>58</v>
      </c>
      <c r="K132" s="298" t="s">
        <v>320</v>
      </c>
      <c r="L132" s="246"/>
      <c r="M132" s="247"/>
      <c r="N132" s="109"/>
      <c r="O132" s="109"/>
      <c r="P132" s="109"/>
      <c r="Q132" s="109"/>
      <c r="R132" s="109"/>
    </row>
    <row r="133">
      <c r="A133" s="109"/>
      <c r="B133" s="254" t="s">
        <v>321</v>
      </c>
      <c r="C133" s="153"/>
      <c r="D133" s="267">
        <f t="shared" ref="D133:I133" si="19">SUM(D126:D132)</f>
        <v>2402.8</v>
      </c>
      <c r="E133" s="256">
        <f t="shared" si="19"/>
        <v>94388</v>
      </c>
      <c r="F133" s="256">
        <f t="shared" si="19"/>
        <v>28267</v>
      </c>
      <c r="G133" s="256">
        <f t="shared" si="19"/>
        <v>66121</v>
      </c>
      <c r="H133" s="256">
        <f t="shared" si="19"/>
        <v>51824</v>
      </c>
      <c r="I133" s="256">
        <f t="shared" si="19"/>
        <v>42565</v>
      </c>
      <c r="J133" s="257"/>
      <c r="K133" s="258"/>
      <c r="L133" s="258"/>
      <c r="M133" s="259"/>
      <c r="N133" s="109"/>
      <c r="O133" s="109"/>
      <c r="P133" s="109"/>
      <c r="Q133" s="109"/>
      <c r="R133" s="109"/>
    </row>
    <row r="134">
      <c r="A134" s="109"/>
      <c r="B134" s="248" t="s">
        <v>322</v>
      </c>
      <c r="C134" s="266" t="s">
        <v>323</v>
      </c>
      <c r="D134" s="260">
        <v>975.0</v>
      </c>
      <c r="E134" s="239">
        <v>38334.0</v>
      </c>
      <c r="F134" s="321">
        <v>13146.0</v>
      </c>
      <c r="G134" s="322">
        <v>25187.0</v>
      </c>
      <c r="H134" s="321">
        <v>27862.0</v>
      </c>
      <c r="I134" s="250">
        <v>10472.0</v>
      </c>
      <c r="J134" s="253" t="s">
        <v>152</v>
      </c>
      <c r="K134" s="275" t="s">
        <v>326</v>
      </c>
      <c r="L134" s="246"/>
      <c r="M134" s="247"/>
      <c r="N134" s="109"/>
      <c r="O134" s="109"/>
      <c r="P134" s="109"/>
      <c r="Q134" s="109"/>
      <c r="R134" s="109"/>
    </row>
    <row r="135">
      <c r="A135" s="109"/>
      <c r="B135" s="248" t="s">
        <v>266</v>
      </c>
      <c r="C135" s="265">
        <v>1203111.0</v>
      </c>
      <c r="D135" s="260">
        <v>214.0</v>
      </c>
      <c r="E135" s="239">
        <v>8476.0</v>
      </c>
      <c r="F135" s="273">
        <v>4910.0</v>
      </c>
      <c r="G135" s="274">
        <v>3566.0</v>
      </c>
      <c r="H135" s="273">
        <v>5845.0</v>
      </c>
      <c r="I135" s="250">
        <v>2631.0</v>
      </c>
      <c r="J135" s="253" t="s">
        <v>58</v>
      </c>
      <c r="K135" s="275" t="s">
        <v>327</v>
      </c>
      <c r="L135" s="246"/>
      <c r="M135" s="247"/>
      <c r="N135" s="109"/>
      <c r="O135" s="109"/>
      <c r="P135" s="109"/>
      <c r="Q135" s="109"/>
      <c r="R135" s="109"/>
    </row>
    <row r="136">
      <c r="A136" s="109"/>
      <c r="B136" s="248" t="s">
        <v>266</v>
      </c>
      <c r="C136" s="266" t="s">
        <v>328</v>
      </c>
      <c r="D136" s="260">
        <v>297.0</v>
      </c>
      <c r="E136" s="239">
        <v>11636.0</v>
      </c>
      <c r="F136" s="273">
        <v>3572.0</v>
      </c>
      <c r="G136" s="274">
        <v>8064.0</v>
      </c>
      <c r="H136" s="273">
        <v>9533.0</v>
      </c>
      <c r="I136" s="250">
        <v>2103.0</v>
      </c>
      <c r="J136" s="253" t="s">
        <v>58</v>
      </c>
      <c r="K136" s="275" t="s">
        <v>329</v>
      </c>
      <c r="L136" s="246"/>
      <c r="M136" s="247"/>
      <c r="N136" s="109"/>
      <c r="O136" s="109"/>
      <c r="P136" s="109"/>
      <c r="Q136" s="109"/>
      <c r="R136" s="109"/>
    </row>
    <row r="137">
      <c r="A137" s="109"/>
      <c r="B137" s="248" t="s">
        <v>330</v>
      </c>
      <c r="C137" s="266" t="s">
        <v>331</v>
      </c>
      <c r="D137" s="260">
        <v>323.0</v>
      </c>
      <c r="E137" s="239">
        <v>12776.0</v>
      </c>
      <c r="F137" s="273">
        <v>6101.0</v>
      </c>
      <c r="G137" s="274">
        <v>6676.0</v>
      </c>
      <c r="H137" s="273">
        <v>8196.0</v>
      </c>
      <c r="I137" s="250">
        <v>4581.0</v>
      </c>
      <c r="J137" s="253" t="s">
        <v>58</v>
      </c>
      <c r="K137" s="275" t="s">
        <v>246</v>
      </c>
      <c r="L137" s="246"/>
      <c r="M137" s="247"/>
      <c r="N137" s="109"/>
      <c r="O137" s="109"/>
      <c r="P137" s="109"/>
      <c r="Q137" s="109"/>
      <c r="R137" s="109"/>
    </row>
    <row r="138">
      <c r="A138" s="109"/>
      <c r="B138" s="248" t="s">
        <v>276</v>
      </c>
      <c r="C138" s="265">
        <v>1203476.0</v>
      </c>
      <c r="D138" s="260">
        <v>960.0</v>
      </c>
      <c r="E138" s="239">
        <v>38116.0</v>
      </c>
      <c r="F138" s="273">
        <v>18174.0</v>
      </c>
      <c r="G138" s="274">
        <v>19941.0</v>
      </c>
      <c r="H138" s="273">
        <v>27528.0</v>
      </c>
      <c r="I138" s="250">
        <v>10609.0</v>
      </c>
      <c r="J138" s="253" t="s">
        <v>58</v>
      </c>
      <c r="K138" s="275" t="s">
        <v>332</v>
      </c>
      <c r="L138" s="246"/>
      <c r="M138" s="247"/>
      <c r="N138" s="109"/>
      <c r="O138" s="109"/>
      <c r="P138" s="109"/>
      <c r="Q138" s="109"/>
      <c r="R138" s="109"/>
    </row>
    <row r="139">
      <c r="A139" s="109"/>
      <c r="B139" s="248" t="s">
        <v>190</v>
      </c>
      <c r="C139" s="266" t="s">
        <v>333</v>
      </c>
      <c r="D139" s="260">
        <v>838.0</v>
      </c>
      <c r="E139" s="239">
        <v>32387.0</v>
      </c>
      <c r="F139" s="273">
        <v>15759.0</v>
      </c>
      <c r="G139" s="274">
        <v>16629.0</v>
      </c>
      <c r="H139" s="273">
        <v>27539.0</v>
      </c>
      <c r="I139" s="250">
        <v>4848.0</v>
      </c>
      <c r="J139" s="253" t="s">
        <v>58</v>
      </c>
      <c r="K139" s="275" t="s">
        <v>334</v>
      </c>
      <c r="L139" s="246"/>
      <c r="M139" s="247"/>
      <c r="N139" s="109"/>
      <c r="O139" s="109"/>
      <c r="P139" s="109"/>
      <c r="Q139" s="109"/>
      <c r="R139" s="109"/>
    </row>
    <row r="140">
      <c r="A140" s="109"/>
      <c r="B140" s="248" t="s">
        <v>335</v>
      </c>
      <c r="C140" s="266" t="s">
        <v>336</v>
      </c>
      <c r="D140" s="260">
        <v>195.0</v>
      </c>
      <c r="E140" s="239">
        <v>7658.0</v>
      </c>
      <c r="F140" s="273">
        <v>6555.0</v>
      </c>
      <c r="G140" s="274">
        <v>1102.0</v>
      </c>
      <c r="H140" s="273">
        <v>6555.0</v>
      </c>
      <c r="I140" s="250">
        <v>1102.0</v>
      </c>
      <c r="J140" s="253" t="s">
        <v>58</v>
      </c>
      <c r="K140" s="275" t="s">
        <v>337</v>
      </c>
      <c r="L140" s="246"/>
      <c r="M140" s="247"/>
      <c r="N140" s="109"/>
      <c r="O140" s="109"/>
      <c r="P140" s="109"/>
      <c r="Q140" s="109"/>
      <c r="R140" s="109"/>
    </row>
    <row r="141">
      <c r="A141" s="109"/>
      <c r="B141" s="248" t="s">
        <v>338</v>
      </c>
      <c r="C141" s="266" t="s">
        <v>339</v>
      </c>
      <c r="D141" s="260">
        <v>3793.0</v>
      </c>
      <c r="E141" s="239">
        <v>144255.0</v>
      </c>
      <c r="F141" s="273">
        <v>72337.0</v>
      </c>
      <c r="G141" s="274">
        <v>71918.0</v>
      </c>
      <c r="H141" s="273">
        <v>90085.0</v>
      </c>
      <c r="I141" s="250">
        <v>54169.0</v>
      </c>
      <c r="J141" s="253" t="s">
        <v>58</v>
      </c>
      <c r="K141" s="275" t="s">
        <v>340</v>
      </c>
      <c r="L141" s="246"/>
      <c r="M141" s="247"/>
      <c r="N141" s="109"/>
      <c r="O141" s="109"/>
      <c r="P141" s="109"/>
      <c r="Q141" s="109"/>
      <c r="R141" s="109"/>
    </row>
    <row r="142">
      <c r="A142" s="109"/>
      <c r="B142" s="254" t="s">
        <v>341</v>
      </c>
      <c r="C142" s="153"/>
      <c r="D142" s="267">
        <f t="shared" ref="D142:I142" si="20">SUM(D134:D141)</f>
        <v>7595</v>
      </c>
      <c r="E142" s="256">
        <f t="shared" si="20"/>
        <v>293638</v>
      </c>
      <c r="F142" s="256">
        <f t="shared" si="20"/>
        <v>140554</v>
      </c>
      <c r="G142" s="256">
        <f t="shared" si="20"/>
        <v>153083</v>
      </c>
      <c r="H142" s="256">
        <f t="shared" si="20"/>
        <v>203143</v>
      </c>
      <c r="I142" s="256">
        <f t="shared" si="20"/>
        <v>90515</v>
      </c>
      <c r="J142" s="257"/>
      <c r="K142" s="258"/>
      <c r="L142" s="258"/>
      <c r="M142" s="259"/>
      <c r="N142" s="109"/>
      <c r="O142" s="109"/>
      <c r="P142" s="109"/>
      <c r="Q142" s="109"/>
      <c r="R142" s="109"/>
    </row>
    <row r="143">
      <c r="A143" s="109"/>
      <c r="B143" s="299" t="s">
        <v>343</v>
      </c>
      <c r="C143" s="291" t="s">
        <v>344</v>
      </c>
      <c r="D143" s="292">
        <v>3023.0</v>
      </c>
      <c r="E143" s="293">
        <v>119812.0</v>
      </c>
      <c r="F143" s="284">
        <v>80680.0</v>
      </c>
      <c r="G143" s="331">
        <f>39131*0</f>
        <v>0</v>
      </c>
      <c r="H143" s="284">
        <v>98849.0</v>
      </c>
      <c r="I143" s="332">
        <v>20963.0</v>
      </c>
      <c r="J143" s="297" t="s">
        <v>40</v>
      </c>
      <c r="K143" s="333" t="s">
        <v>345</v>
      </c>
      <c r="L143" s="246"/>
      <c r="M143" s="247"/>
      <c r="N143" s="109"/>
      <c r="O143" s="109"/>
      <c r="P143" s="109"/>
      <c r="Q143" s="109"/>
      <c r="R143" s="109"/>
    </row>
    <row r="144">
      <c r="A144" s="109"/>
      <c r="B144" s="334" t="s">
        <v>247</v>
      </c>
      <c r="C144" s="291">
        <v>2360595.0</v>
      </c>
      <c r="D144" s="292">
        <v>252.0</v>
      </c>
      <c r="E144" s="293">
        <v>9591.0</v>
      </c>
      <c r="F144" s="284">
        <v>6893.0</v>
      </c>
      <c r="G144" s="335">
        <v>2698.0</v>
      </c>
      <c r="H144" s="284">
        <v>7836.0</v>
      </c>
      <c r="I144" s="332">
        <v>1754.0</v>
      </c>
      <c r="J144" s="297" t="s">
        <v>58</v>
      </c>
      <c r="K144" s="333" t="s">
        <v>346</v>
      </c>
      <c r="L144" s="246"/>
      <c r="M144" s="247"/>
      <c r="N144" s="109"/>
      <c r="O144" s="109"/>
      <c r="P144" s="109"/>
      <c r="Q144" s="109"/>
      <c r="R144" s="109"/>
    </row>
    <row r="145">
      <c r="A145" s="109"/>
      <c r="B145" s="299" t="s">
        <v>43</v>
      </c>
      <c r="C145" s="291" t="s">
        <v>347</v>
      </c>
      <c r="D145" s="292">
        <v>337.0</v>
      </c>
      <c r="E145" s="293">
        <v>13360.0</v>
      </c>
      <c r="F145" s="284">
        <v>7579.0</v>
      </c>
      <c r="G145" s="335">
        <v>5781.0</v>
      </c>
      <c r="H145" s="284">
        <v>10419.0</v>
      </c>
      <c r="I145" s="332">
        <v>2941.0</v>
      </c>
      <c r="J145" s="297" t="s">
        <v>58</v>
      </c>
      <c r="K145" s="333" t="s">
        <v>348</v>
      </c>
      <c r="L145" s="246"/>
      <c r="M145" s="247"/>
      <c r="N145" s="109"/>
      <c r="O145" s="109"/>
      <c r="P145" s="109"/>
      <c r="Q145" s="109"/>
      <c r="R145" s="109"/>
    </row>
    <row r="146">
      <c r="A146" s="109"/>
      <c r="B146" s="299" t="s">
        <v>43</v>
      </c>
      <c r="C146" s="291" t="s">
        <v>349</v>
      </c>
      <c r="D146" s="292">
        <v>182.0</v>
      </c>
      <c r="E146" s="293">
        <v>7213.0</v>
      </c>
      <c r="F146" s="284">
        <v>4255.0</v>
      </c>
      <c r="G146" s="335">
        <v>2958.0</v>
      </c>
      <c r="H146" s="284">
        <v>4968.0</v>
      </c>
      <c r="I146" s="332">
        <v>2245.0</v>
      </c>
      <c r="J146" s="297" t="s">
        <v>58</v>
      </c>
      <c r="K146" s="333" t="s">
        <v>350</v>
      </c>
      <c r="L146" s="246"/>
      <c r="M146" s="247"/>
      <c r="N146" s="109"/>
      <c r="O146" s="109"/>
      <c r="P146" s="109"/>
      <c r="Q146" s="109"/>
      <c r="R146" s="109"/>
    </row>
    <row r="147">
      <c r="A147" s="109"/>
      <c r="B147" s="299" t="s">
        <v>351</v>
      </c>
      <c r="C147" s="291" t="s">
        <v>352</v>
      </c>
      <c r="D147" s="292">
        <v>812.0</v>
      </c>
      <c r="E147" s="293">
        <v>32182.0</v>
      </c>
      <c r="F147" s="284">
        <v>14083.0</v>
      </c>
      <c r="G147" s="335">
        <v>18099.0</v>
      </c>
      <c r="H147" s="284">
        <v>22443.0</v>
      </c>
      <c r="I147" s="332">
        <v>9740.0</v>
      </c>
      <c r="J147" s="297" t="s">
        <v>58</v>
      </c>
      <c r="K147" s="333" t="s">
        <v>353</v>
      </c>
      <c r="L147" s="246"/>
      <c r="M147" s="247"/>
      <c r="N147" s="109"/>
      <c r="O147" s="109"/>
      <c r="P147" s="109"/>
      <c r="Q147" s="109"/>
      <c r="R147" s="109"/>
    </row>
    <row r="148">
      <c r="A148" s="109"/>
      <c r="B148" s="299" t="s">
        <v>266</v>
      </c>
      <c r="C148" s="291" t="s">
        <v>356</v>
      </c>
      <c r="D148" s="292">
        <v>190.0</v>
      </c>
      <c r="E148" s="293">
        <v>7413.0</v>
      </c>
      <c r="F148" s="284">
        <v>3000.0</v>
      </c>
      <c r="G148" s="335">
        <v>4413.0</v>
      </c>
      <c r="H148" s="284">
        <v>5114.0</v>
      </c>
      <c r="I148" s="332">
        <v>2299.0</v>
      </c>
      <c r="J148" s="297" t="s">
        <v>58</v>
      </c>
      <c r="K148" s="333" t="s">
        <v>357</v>
      </c>
      <c r="L148" s="246"/>
      <c r="M148" s="247"/>
      <c r="N148" s="109"/>
      <c r="O148" s="109"/>
      <c r="P148" s="109"/>
      <c r="Q148" s="109"/>
      <c r="R148" s="109"/>
    </row>
    <row r="149">
      <c r="A149" s="109"/>
      <c r="B149" s="299" t="s">
        <v>308</v>
      </c>
      <c r="C149" s="291">
        <v>1198394.0</v>
      </c>
      <c r="D149" s="292">
        <v>27.0</v>
      </c>
      <c r="E149" s="293">
        <v>1070.0</v>
      </c>
      <c r="F149" s="284">
        <v>467.0</v>
      </c>
      <c r="G149" s="335">
        <v>603.0</v>
      </c>
      <c r="H149" s="284">
        <v>630.0</v>
      </c>
      <c r="I149" s="332">
        <v>440.0</v>
      </c>
      <c r="J149" s="297" t="s">
        <v>40</v>
      </c>
      <c r="K149" s="333" t="s">
        <v>358</v>
      </c>
      <c r="L149" s="246"/>
      <c r="M149" s="247"/>
      <c r="N149" s="109"/>
      <c r="O149" s="109"/>
      <c r="P149" s="109"/>
      <c r="Q149" s="109"/>
      <c r="R149" s="109"/>
    </row>
    <row r="150">
      <c r="A150" s="109"/>
      <c r="B150" s="299" t="s">
        <v>283</v>
      </c>
      <c r="C150" s="291" t="s">
        <v>359</v>
      </c>
      <c r="D150" s="292">
        <v>126.0</v>
      </c>
      <c r="E150" s="293">
        <v>5155.0</v>
      </c>
      <c r="F150" s="284">
        <v>3601.0</v>
      </c>
      <c r="G150" s="335">
        <v>1555.0</v>
      </c>
      <c r="H150" s="284">
        <v>3642.0</v>
      </c>
      <c r="I150" s="332">
        <v>1514.0</v>
      </c>
      <c r="J150" s="297" t="s">
        <v>40</v>
      </c>
      <c r="K150" s="333" t="s">
        <v>360</v>
      </c>
      <c r="L150" s="246"/>
      <c r="M150" s="247"/>
      <c r="N150" s="109"/>
      <c r="O150" s="109"/>
      <c r="P150" s="109"/>
      <c r="Q150" s="109"/>
      <c r="R150" s="109"/>
    </row>
    <row r="151">
      <c r="A151" s="109"/>
      <c r="B151" s="299" t="s">
        <v>193</v>
      </c>
      <c r="C151" s="291" t="s">
        <v>361</v>
      </c>
      <c r="D151" s="292">
        <v>240.0</v>
      </c>
      <c r="E151" s="293">
        <v>9151.0</v>
      </c>
      <c r="F151" s="284">
        <v>8084.0</v>
      </c>
      <c r="G151" s="335">
        <v>1066.0</v>
      </c>
      <c r="H151" s="284">
        <v>8129.0</v>
      </c>
      <c r="I151" s="332">
        <v>1022.0</v>
      </c>
      <c r="J151" s="297" t="s">
        <v>40</v>
      </c>
      <c r="K151" s="333" t="s">
        <v>362</v>
      </c>
      <c r="L151" s="246"/>
      <c r="M151" s="247"/>
      <c r="N151" s="109"/>
      <c r="O151" s="109"/>
      <c r="P151" s="109"/>
      <c r="Q151" s="109"/>
      <c r="R151" s="109"/>
    </row>
    <row r="152">
      <c r="A152" s="109"/>
      <c r="B152" s="299" t="s">
        <v>271</v>
      </c>
      <c r="C152" s="291">
        <v>1204937.0</v>
      </c>
      <c r="D152" s="292">
        <v>372.0</v>
      </c>
      <c r="E152" s="293">
        <v>14744.0</v>
      </c>
      <c r="F152" s="284">
        <v>7316.0</v>
      </c>
      <c r="G152" s="335">
        <v>7427.0</v>
      </c>
      <c r="H152" s="284">
        <v>8830.0</v>
      </c>
      <c r="I152" s="332">
        <v>5913.0</v>
      </c>
      <c r="J152" s="297" t="s">
        <v>58</v>
      </c>
      <c r="K152" s="333" t="s">
        <v>363</v>
      </c>
      <c r="L152" s="246"/>
      <c r="M152" s="247"/>
      <c r="N152" s="109"/>
      <c r="O152" s="109"/>
      <c r="P152" s="109"/>
      <c r="Q152" s="109"/>
      <c r="R152" s="109"/>
    </row>
    <row r="153">
      <c r="A153" s="109"/>
      <c r="B153" s="299" t="s">
        <v>364</v>
      </c>
      <c r="C153" s="291" t="s">
        <v>365</v>
      </c>
      <c r="D153" s="292">
        <v>1174.0</v>
      </c>
      <c r="E153" s="293">
        <v>45700.0</v>
      </c>
      <c r="F153" s="284">
        <v>31264.0</v>
      </c>
      <c r="G153" s="335">
        <v>14436.0</v>
      </c>
      <c r="H153" s="284">
        <v>36245.0</v>
      </c>
      <c r="I153" s="332">
        <v>9455.0</v>
      </c>
      <c r="J153" s="297" t="s">
        <v>152</v>
      </c>
      <c r="K153" s="333" t="s">
        <v>366</v>
      </c>
      <c r="L153" s="246"/>
      <c r="M153" s="247"/>
      <c r="N153" s="109"/>
      <c r="O153" s="109"/>
      <c r="P153" s="109"/>
      <c r="Q153" s="109"/>
      <c r="R153" s="109"/>
    </row>
    <row r="154">
      <c r="A154" s="109"/>
      <c r="B154" s="299" t="s">
        <v>368</v>
      </c>
      <c r="C154" s="291" t="s">
        <v>369</v>
      </c>
      <c r="D154" s="292">
        <v>67.0</v>
      </c>
      <c r="E154" s="293">
        <v>2553.0</v>
      </c>
      <c r="F154" s="284">
        <v>2250.0</v>
      </c>
      <c r="G154" s="335">
        <v>303.0</v>
      </c>
      <c r="H154" s="284">
        <v>2250.0</v>
      </c>
      <c r="I154" s="332">
        <v>303.0</v>
      </c>
      <c r="J154" s="297" t="s">
        <v>40</v>
      </c>
      <c r="K154" s="333" t="s">
        <v>233</v>
      </c>
      <c r="L154" s="246"/>
      <c r="M154" s="247"/>
      <c r="N154" s="109"/>
      <c r="O154" s="109"/>
      <c r="P154" s="109"/>
      <c r="Q154" s="109"/>
      <c r="R154" s="109"/>
    </row>
    <row r="155">
      <c r="A155" s="109"/>
      <c r="B155" s="299" t="s">
        <v>283</v>
      </c>
      <c r="C155" s="291" t="s">
        <v>370</v>
      </c>
      <c r="D155" s="292">
        <v>79.0</v>
      </c>
      <c r="E155" s="293">
        <v>3145.0</v>
      </c>
      <c r="F155" s="284">
        <v>2191.0</v>
      </c>
      <c r="G155" s="335">
        <v>954.0</v>
      </c>
      <c r="H155" s="284">
        <v>2233.0</v>
      </c>
      <c r="I155" s="332">
        <v>912.0</v>
      </c>
      <c r="J155" s="297" t="s">
        <v>40</v>
      </c>
      <c r="K155" s="333" t="s">
        <v>360</v>
      </c>
      <c r="L155" s="246"/>
      <c r="M155" s="247"/>
      <c r="N155" s="109"/>
      <c r="O155" s="109"/>
      <c r="P155" s="109"/>
      <c r="Q155" s="109"/>
      <c r="R155" s="109"/>
    </row>
    <row r="156">
      <c r="A156" s="109"/>
      <c r="B156" s="299" t="s">
        <v>193</v>
      </c>
      <c r="C156" s="291" t="s">
        <v>371</v>
      </c>
      <c r="D156" s="292">
        <v>531.0</v>
      </c>
      <c r="E156" s="293">
        <v>21134.0</v>
      </c>
      <c r="F156" s="284">
        <v>15733.0</v>
      </c>
      <c r="G156" s="335">
        <v>5401.0</v>
      </c>
      <c r="H156" s="284">
        <v>15777.0</v>
      </c>
      <c r="I156" s="332">
        <v>5356.0</v>
      </c>
      <c r="J156" s="297" t="s">
        <v>40</v>
      </c>
      <c r="K156" s="333" t="s">
        <v>372</v>
      </c>
      <c r="L156" s="246"/>
      <c r="M156" s="247"/>
      <c r="N156" s="109"/>
      <c r="O156" s="109"/>
      <c r="P156" s="109"/>
      <c r="Q156" s="109"/>
      <c r="R156" s="109"/>
    </row>
    <row r="157">
      <c r="A157" s="109"/>
      <c r="B157" s="299" t="s">
        <v>373</v>
      </c>
      <c r="C157" s="291" t="s">
        <v>374</v>
      </c>
      <c r="D157" s="292">
        <v>1083.0</v>
      </c>
      <c r="E157" s="293">
        <v>42923.0</v>
      </c>
      <c r="F157" s="284">
        <v>24759.0</v>
      </c>
      <c r="G157" s="335">
        <v>18164.0</v>
      </c>
      <c r="H157" s="284">
        <v>30621.0</v>
      </c>
      <c r="I157" s="332">
        <v>12302.0</v>
      </c>
      <c r="J157" s="297" t="s">
        <v>58</v>
      </c>
      <c r="K157" s="333" t="s">
        <v>375</v>
      </c>
      <c r="L157" s="246"/>
      <c r="M157" s="247"/>
      <c r="N157" s="109"/>
      <c r="O157" s="109"/>
      <c r="P157" s="109"/>
      <c r="Q157" s="109"/>
      <c r="R157" s="109"/>
    </row>
    <row r="158">
      <c r="A158" s="109"/>
      <c r="B158" s="299" t="s">
        <v>271</v>
      </c>
      <c r="C158" s="291" t="s">
        <v>376</v>
      </c>
      <c r="D158" s="292">
        <v>1562.0</v>
      </c>
      <c r="E158" s="293">
        <v>61907.0</v>
      </c>
      <c r="F158" s="284">
        <v>39046.0</v>
      </c>
      <c r="G158" s="335">
        <v>22861.0</v>
      </c>
      <c r="H158" s="284">
        <v>45625.0</v>
      </c>
      <c r="I158" s="332">
        <v>16282.0</v>
      </c>
      <c r="J158" s="297" t="s">
        <v>58</v>
      </c>
      <c r="K158" s="333" t="s">
        <v>377</v>
      </c>
      <c r="L158" s="246"/>
      <c r="M158" s="247"/>
      <c r="N158" s="109"/>
      <c r="O158" s="109"/>
      <c r="P158" s="109"/>
      <c r="Q158" s="109"/>
      <c r="R158" s="109"/>
    </row>
    <row r="159">
      <c r="A159" s="109"/>
      <c r="B159" s="299" t="s">
        <v>256</v>
      </c>
      <c r="C159" s="291" t="s">
        <v>378</v>
      </c>
      <c r="D159" s="292">
        <v>351.0</v>
      </c>
      <c r="E159" s="293">
        <v>13911.0</v>
      </c>
      <c r="F159" s="284">
        <v>10577.0</v>
      </c>
      <c r="G159" s="335">
        <v>3334.0</v>
      </c>
      <c r="H159" s="284">
        <v>13643.0</v>
      </c>
      <c r="I159" s="332">
        <v>268.0</v>
      </c>
      <c r="J159" s="297" t="s">
        <v>58</v>
      </c>
      <c r="K159" s="333" t="s">
        <v>379</v>
      </c>
      <c r="L159" s="246"/>
      <c r="M159" s="247"/>
      <c r="N159" s="109"/>
      <c r="O159" s="109"/>
      <c r="P159" s="109"/>
      <c r="Q159" s="109"/>
      <c r="R159" s="109"/>
    </row>
    <row r="160">
      <c r="A160" s="109"/>
      <c r="B160" s="299" t="s">
        <v>380</v>
      </c>
      <c r="C160" s="291" t="s">
        <v>381</v>
      </c>
      <c r="D160" s="292">
        <v>729.0</v>
      </c>
      <c r="E160" s="293">
        <v>28852.0</v>
      </c>
      <c r="F160" s="284">
        <v>14905.0</v>
      </c>
      <c r="G160" s="335">
        <v>13946.0</v>
      </c>
      <c r="H160" s="284">
        <v>17721.0</v>
      </c>
      <c r="I160" s="332">
        <v>11131.0</v>
      </c>
      <c r="J160" s="297" t="s">
        <v>58</v>
      </c>
      <c r="K160" s="333" t="s">
        <v>382</v>
      </c>
      <c r="L160" s="246"/>
      <c r="M160" s="247"/>
      <c r="N160" s="109"/>
      <c r="O160" s="109"/>
      <c r="P160" s="109"/>
      <c r="Q160" s="109"/>
      <c r="R160" s="109"/>
    </row>
    <row r="161">
      <c r="A161" s="109"/>
      <c r="B161" s="299" t="s">
        <v>384</v>
      </c>
      <c r="C161" s="291" t="s">
        <v>385</v>
      </c>
      <c r="D161" s="292">
        <v>67.0</v>
      </c>
      <c r="E161" s="293">
        <v>2553.0</v>
      </c>
      <c r="F161" s="321">
        <v>2160.0</v>
      </c>
      <c r="G161" s="322">
        <v>374.0</v>
      </c>
      <c r="H161" s="321">
        <v>2160.0</v>
      </c>
      <c r="I161" s="250">
        <v>374.0</v>
      </c>
      <c r="J161" s="297" t="s">
        <v>40</v>
      </c>
      <c r="K161" s="333" t="s">
        <v>233</v>
      </c>
      <c r="L161" s="246"/>
      <c r="M161" s="247"/>
      <c r="N161" s="109"/>
      <c r="O161" s="109"/>
      <c r="P161" s="109"/>
      <c r="Q161" s="109"/>
      <c r="R161" s="109"/>
    </row>
    <row r="162">
      <c r="A162" s="109"/>
      <c r="B162" s="299" t="s">
        <v>193</v>
      </c>
      <c r="C162" s="291" t="s">
        <v>386</v>
      </c>
      <c r="D162" s="260">
        <v>882.0</v>
      </c>
      <c r="E162" s="239">
        <v>33273.0</v>
      </c>
      <c r="F162" s="321">
        <v>22538.0</v>
      </c>
      <c r="G162" s="322">
        <v>10735.0</v>
      </c>
      <c r="H162" s="321">
        <v>22578.0</v>
      </c>
      <c r="I162" s="250">
        <v>10695.0</v>
      </c>
      <c r="J162" s="297" t="s">
        <v>40</v>
      </c>
      <c r="K162" s="333" t="s">
        <v>387</v>
      </c>
      <c r="L162" s="246"/>
      <c r="M162" s="247"/>
      <c r="N162" s="109"/>
      <c r="O162" s="109"/>
      <c r="P162" s="109"/>
      <c r="Q162" s="109"/>
      <c r="R162" s="109"/>
    </row>
    <row r="163">
      <c r="A163" s="109"/>
      <c r="B163" s="299" t="s">
        <v>388</v>
      </c>
      <c r="C163" s="291" t="s">
        <v>389</v>
      </c>
      <c r="D163" s="292">
        <v>18.0</v>
      </c>
      <c r="E163" s="239">
        <v>663.0</v>
      </c>
      <c r="F163" s="321">
        <v>140.0</v>
      </c>
      <c r="G163" s="322">
        <v>524.0</v>
      </c>
      <c r="H163" s="321">
        <v>3.0</v>
      </c>
      <c r="I163" s="250">
        <v>660.0</v>
      </c>
      <c r="J163" s="297"/>
      <c r="K163" s="333" t="s">
        <v>390</v>
      </c>
      <c r="L163" s="246"/>
      <c r="M163" s="247"/>
      <c r="N163" s="109"/>
      <c r="O163" s="109"/>
      <c r="P163" s="109"/>
      <c r="Q163" s="109"/>
      <c r="R163" s="109"/>
    </row>
    <row r="164">
      <c r="A164" s="109"/>
      <c r="B164" s="254" t="s">
        <v>391</v>
      </c>
      <c r="C164" s="153"/>
      <c r="D164" s="267">
        <f t="shared" ref="D164:I164" si="21">SUM(D143:D163)</f>
        <v>12104</v>
      </c>
      <c r="E164" s="256">
        <f t="shared" si="21"/>
        <v>476305</v>
      </c>
      <c r="F164" s="256">
        <f t="shared" si="21"/>
        <v>301521</v>
      </c>
      <c r="G164" s="256">
        <f t="shared" si="21"/>
        <v>135632</v>
      </c>
      <c r="H164" s="256">
        <f t="shared" si="21"/>
        <v>359716</v>
      </c>
      <c r="I164" s="256">
        <f t="shared" si="21"/>
        <v>116569</v>
      </c>
      <c r="J164" s="257"/>
      <c r="K164" s="258"/>
      <c r="L164" s="258"/>
      <c r="M164" s="259"/>
      <c r="N164" s="109"/>
      <c r="O164" s="109"/>
      <c r="P164" s="109"/>
      <c r="Q164" s="109"/>
      <c r="R164" s="109"/>
    </row>
    <row r="165">
      <c r="A165" s="109"/>
      <c r="B165" s="339" t="s">
        <v>266</v>
      </c>
      <c r="C165" s="301" t="s">
        <v>392</v>
      </c>
      <c r="D165" s="292">
        <v>139.0</v>
      </c>
      <c r="E165" s="293">
        <v>5385.0</v>
      </c>
      <c r="F165" s="284">
        <v>3013.0</v>
      </c>
      <c r="G165" s="340">
        <f>2372*F197</f>
        <v>0</v>
      </c>
      <c r="H165" s="284">
        <v>3608.0</v>
      </c>
      <c r="I165" s="332">
        <v>1777.0</v>
      </c>
      <c r="J165" s="297" t="s">
        <v>58</v>
      </c>
      <c r="K165" s="333" t="s">
        <v>393</v>
      </c>
      <c r="L165" s="246"/>
      <c r="M165" s="247"/>
      <c r="N165" s="109"/>
      <c r="O165" s="109"/>
      <c r="P165" s="109"/>
      <c r="Q165" s="109"/>
      <c r="R165" s="109"/>
    </row>
    <row r="166">
      <c r="A166" s="109"/>
      <c r="B166" s="299" t="s">
        <v>394</v>
      </c>
      <c r="C166" s="291">
        <v>1173891.0</v>
      </c>
      <c r="D166" s="292">
        <v>613.0</v>
      </c>
      <c r="E166" s="293">
        <v>24349.0</v>
      </c>
      <c r="F166" s="284">
        <v>13598.0</v>
      </c>
      <c r="G166" s="335">
        <v>10751.0</v>
      </c>
      <c r="H166" s="284">
        <v>17919.0</v>
      </c>
      <c r="I166" s="332">
        <v>6430.0</v>
      </c>
      <c r="J166" s="297" t="s">
        <v>58</v>
      </c>
      <c r="K166" s="333" t="s">
        <v>397</v>
      </c>
      <c r="L166" s="246"/>
      <c r="M166" s="247"/>
      <c r="N166" s="109"/>
      <c r="O166" s="109"/>
      <c r="P166" s="109"/>
      <c r="Q166" s="109"/>
      <c r="R166" s="109"/>
    </row>
    <row r="167">
      <c r="A167" s="109"/>
      <c r="B167" s="299" t="s">
        <v>308</v>
      </c>
      <c r="C167" s="291">
        <v>1198422.0</v>
      </c>
      <c r="D167" s="292">
        <v>472.0</v>
      </c>
      <c r="E167" s="293">
        <v>18400.0</v>
      </c>
      <c r="F167" s="284">
        <v>13681.0</v>
      </c>
      <c r="G167" s="335">
        <v>4719.0</v>
      </c>
      <c r="H167" s="284">
        <v>13720.0</v>
      </c>
      <c r="I167" s="332">
        <v>4680.0</v>
      </c>
      <c r="J167" s="297" t="s">
        <v>40</v>
      </c>
      <c r="K167" s="333" t="s">
        <v>398</v>
      </c>
      <c r="L167" s="246"/>
      <c r="M167" s="247"/>
      <c r="N167" s="109"/>
      <c r="O167" s="109"/>
      <c r="P167" s="109"/>
      <c r="Q167" s="109"/>
      <c r="R167" s="109"/>
    </row>
    <row r="168">
      <c r="A168" s="109"/>
      <c r="B168" s="299" t="s">
        <v>71</v>
      </c>
      <c r="C168" s="301" t="s">
        <v>399</v>
      </c>
      <c r="D168" s="292">
        <v>2907.0</v>
      </c>
      <c r="E168" s="293">
        <v>115467.0</v>
      </c>
      <c r="F168" s="284">
        <v>59743.0</v>
      </c>
      <c r="G168" s="335">
        <v>55724.0</v>
      </c>
      <c r="H168" s="284">
        <v>71636.0</v>
      </c>
      <c r="I168" s="332">
        <v>43831.0</v>
      </c>
      <c r="J168" s="297" t="s">
        <v>58</v>
      </c>
      <c r="K168" s="333" t="s">
        <v>400</v>
      </c>
      <c r="L168" s="246"/>
      <c r="M168" s="247"/>
      <c r="N168" s="109"/>
      <c r="O168" s="109"/>
      <c r="P168" s="109"/>
      <c r="Q168" s="109"/>
      <c r="R168" s="109"/>
    </row>
    <row r="169">
      <c r="A169" s="109"/>
      <c r="B169" s="299" t="s">
        <v>401</v>
      </c>
      <c r="C169" s="301" t="s">
        <v>402</v>
      </c>
      <c r="D169" s="292">
        <v>1440.0</v>
      </c>
      <c r="E169" s="293">
        <v>53942.0</v>
      </c>
      <c r="F169" s="284">
        <v>36372.0</v>
      </c>
      <c r="G169" s="335">
        <v>17570.0</v>
      </c>
      <c r="H169" s="284">
        <v>44658.0</v>
      </c>
      <c r="I169" s="332">
        <v>9284.0</v>
      </c>
      <c r="J169" s="297" t="s">
        <v>58</v>
      </c>
      <c r="K169" s="333" t="s">
        <v>403</v>
      </c>
      <c r="L169" s="246"/>
      <c r="M169" s="247"/>
      <c r="N169" s="109"/>
      <c r="O169" s="109"/>
      <c r="P169" s="109"/>
      <c r="Q169" s="109"/>
      <c r="R169" s="109"/>
    </row>
    <row r="170">
      <c r="A170" s="109"/>
      <c r="B170" s="299" t="s">
        <v>404</v>
      </c>
      <c r="C170" s="301" t="s">
        <v>405</v>
      </c>
      <c r="D170" s="292">
        <v>935.9</v>
      </c>
      <c r="E170" s="293">
        <v>37174.0</v>
      </c>
      <c r="F170" s="284">
        <v>20493.0</v>
      </c>
      <c r="G170" s="335">
        <v>16681.0</v>
      </c>
      <c r="H170" s="284">
        <v>27679.0</v>
      </c>
      <c r="I170" s="332">
        <v>9495.0</v>
      </c>
      <c r="J170" s="297" t="s">
        <v>40</v>
      </c>
      <c r="K170" s="333" t="s">
        <v>406</v>
      </c>
      <c r="L170" s="246"/>
      <c r="M170" s="247"/>
      <c r="N170" s="109"/>
      <c r="O170" s="109"/>
      <c r="P170" s="109"/>
      <c r="Q170" s="109"/>
      <c r="R170" s="109"/>
    </row>
    <row r="171">
      <c r="A171" s="109"/>
      <c r="B171" s="299" t="s">
        <v>407</v>
      </c>
      <c r="C171" s="301" t="s">
        <v>408</v>
      </c>
      <c r="D171" s="292">
        <v>1741.0</v>
      </c>
      <c r="E171" s="293">
        <v>68522.0</v>
      </c>
      <c r="F171" s="284">
        <v>46912.0</v>
      </c>
      <c r="G171" s="335">
        <v>21610.0</v>
      </c>
      <c r="H171" s="284">
        <v>52821.0</v>
      </c>
      <c r="I171" s="332">
        <v>15701.0</v>
      </c>
      <c r="J171" s="297" t="s">
        <v>58</v>
      </c>
      <c r="K171" s="333" t="s">
        <v>409</v>
      </c>
      <c r="L171" s="246"/>
      <c r="M171" s="247"/>
      <c r="N171" s="109"/>
      <c r="O171" s="109"/>
      <c r="P171" s="109"/>
      <c r="Q171" s="109"/>
      <c r="R171" s="109"/>
    </row>
    <row r="172">
      <c r="A172" s="109"/>
      <c r="B172" s="299" t="s">
        <v>410</v>
      </c>
      <c r="C172" s="301" t="s">
        <v>411</v>
      </c>
      <c r="D172" s="292">
        <v>571.0</v>
      </c>
      <c r="E172" s="293">
        <v>25150.0</v>
      </c>
      <c r="F172" s="284">
        <v>14161.0</v>
      </c>
      <c r="G172" s="335">
        <v>10989.0</v>
      </c>
      <c r="H172" s="284">
        <v>18802.0</v>
      </c>
      <c r="I172" s="332">
        <v>6348.0</v>
      </c>
      <c r="J172" s="297" t="s">
        <v>58</v>
      </c>
      <c r="K172" s="333" t="s">
        <v>412</v>
      </c>
      <c r="L172" s="246"/>
      <c r="M172" s="247"/>
      <c r="N172" s="109"/>
      <c r="O172" s="109"/>
      <c r="P172" s="109"/>
      <c r="Q172" s="109"/>
      <c r="R172" s="109"/>
    </row>
    <row r="173">
      <c r="A173" s="109"/>
      <c r="B173" s="299" t="s">
        <v>271</v>
      </c>
      <c r="C173" s="301" t="s">
        <v>413</v>
      </c>
      <c r="D173" s="292">
        <v>1718.0</v>
      </c>
      <c r="E173" s="293">
        <v>68239.0</v>
      </c>
      <c r="F173" s="284">
        <v>45132.0</v>
      </c>
      <c r="G173" s="331">
        <f>23107*0</f>
        <v>0</v>
      </c>
      <c r="H173" s="284">
        <v>52266.0</v>
      </c>
      <c r="I173" s="332">
        <v>15974.0</v>
      </c>
      <c r="J173" s="297" t="s">
        <v>58</v>
      </c>
      <c r="K173" s="333" t="s">
        <v>415</v>
      </c>
      <c r="L173" s="246"/>
      <c r="M173" s="247"/>
      <c r="N173" s="109"/>
      <c r="O173" s="109"/>
      <c r="P173" s="109"/>
      <c r="Q173" s="109"/>
      <c r="R173" s="109"/>
    </row>
    <row r="174">
      <c r="A174" s="109"/>
      <c r="B174" s="299" t="s">
        <v>416</v>
      </c>
      <c r="C174" s="301" t="s">
        <v>417</v>
      </c>
      <c r="D174" s="292">
        <v>2642.0</v>
      </c>
      <c r="E174" s="293">
        <v>104956.0</v>
      </c>
      <c r="F174" s="284">
        <v>77977.0</v>
      </c>
      <c r="G174" s="331">
        <f>26979*0</f>
        <v>0</v>
      </c>
      <c r="H174" s="284">
        <v>83879.0</v>
      </c>
      <c r="I174" s="332">
        <v>21077.0</v>
      </c>
      <c r="J174" s="297" t="s">
        <v>40</v>
      </c>
      <c r="K174" s="333" t="s">
        <v>418</v>
      </c>
      <c r="L174" s="246"/>
      <c r="M174" s="247"/>
      <c r="N174" s="109"/>
      <c r="O174" s="109"/>
      <c r="P174" s="109"/>
      <c r="Q174" s="109"/>
      <c r="R174" s="109"/>
    </row>
    <row r="175">
      <c r="A175" s="109"/>
      <c r="B175" s="342" t="s">
        <v>266</v>
      </c>
      <c r="C175" s="301" t="s">
        <v>419</v>
      </c>
      <c r="D175" s="292">
        <v>140.0</v>
      </c>
      <c r="E175" s="293">
        <v>5522.0</v>
      </c>
      <c r="F175" s="284">
        <v>3610.0</v>
      </c>
      <c r="G175" s="340">
        <f>1913*F197</f>
        <v>0</v>
      </c>
      <c r="H175" s="284">
        <v>4205.0</v>
      </c>
      <c r="I175" s="332">
        <v>1318.0</v>
      </c>
      <c r="J175" s="297" t="s">
        <v>58</v>
      </c>
      <c r="K175" s="333" t="s">
        <v>420</v>
      </c>
      <c r="L175" s="246"/>
      <c r="M175" s="247"/>
      <c r="N175" s="109"/>
      <c r="O175" s="109"/>
      <c r="P175" s="109"/>
      <c r="Q175" s="109"/>
      <c r="R175" s="109"/>
    </row>
    <row r="176">
      <c r="A176" s="109"/>
      <c r="B176" s="299" t="s">
        <v>193</v>
      </c>
      <c r="C176" s="301" t="s">
        <v>421</v>
      </c>
      <c r="D176" s="292">
        <v>55.0</v>
      </c>
      <c r="E176" s="293">
        <v>2182.0</v>
      </c>
      <c r="F176" s="284">
        <v>921.0</v>
      </c>
      <c r="G176" s="335">
        <v>1261.0</v>
      </c>
      <c r="H176" s="284">
        <v>1624.0</v>
      </c>
      <c r="I176" s="332">
        <v>558.0</v>
      </c>
      <c r="J176" s="297" t="s">
        <v>40</v>
      </c>
      <c r="K176" s="333" t="s">
        <v>422</v>
      </c>
      <c r="L176" s="246"/>
      <c r="M176" s="247"/>
      <c r="N176" s="109"/>
      <c r="O176" s="109"/>
      <c r="P176" s="109"/>
      <c r="Q176" s="109"/>
      <c r="R176" s="109"/>
    </row>
    <row r="177">
      <c r="A177" s="109"/>
      <c r="B177" s="299" t="s">
        <v>184</v>
      </c>
      <c r="C177" s="301" t="s">
        <v>423</v>
      </c>
      <c r="D177" s="292">
        <v>204.0</v>
      </c>
      <c r="E177" s="293">
        <v>8103.0</v>
      </c>
      <c r="F177" s="284">
        <v>4738.0</v>
      </c>
      <c r="G177" s="331">
        <f>3365*0</f>
        <v>0</v>
      </c>
      <c r="H177" s="284">
        <v>5580.0</v>
      </c>
      <c r="I177" s="332">
        <v>2523.0</v>
      </c>
      <c r="J177" s="297" t="s">
        <v>152</v>
      </c>
      <c r="K177" s="333" t="s">
        <v>424</v>
      </c>
      <c r="L177" s="246"/>
      <c r="M177" s="247"/>
      <c r="N177" s="109"/>
      <c r="O177" s="109"/>
      <c r="P177" s="109"/>
      <c r="Q177" s="109"/>
      <c r="R177" s="109"/>
    </row>
    <row r="178">
      <c r="A178" s="109"/>
      <c r="B178" s="342" t="s">
        <v>425</v>
      </c>
      <c r="C178" s="301" t="s">
        <v>426</v>
      </c>
      <c r="D178" s="292">
        <v>170.0</v>
      </c>
      <c r="E178" s="293">
        <v>6745.0</v>
      </c>
      <c r="F178" s="284">
        <v>4668.0</v>
      </c>
      <c r="G178" s="340">
        <f>2076*F197</f>
        <v>0</v>
      </c>
      <c r="H178" s="284">
        <v>5358.0</v>
      </c>
      <c r="I178" s="332">
        <v>1387.0</v>
      </c>
      <c r="J178" s="297" t="s">
        <v>152</v>
      </c>
      <c r="K178" s="333" t="s">
        <v>424</v>
      </c>
      <c r="L178" s="246"/>
      <c r="M178" s="247"/>
      <c r="N178" s="109"/>
      <c r="O178" s="109"/>
      <c r="P178" s="109"/>
      <c r="Q178" s="109"/>
      <c r="R178" s="109"/>
    </row>
    <row r="179">
      <c r="A179" s="109"/>
      <c r="B179" s="299" t="s">
        <v>427</v>
      </c>
      <c r="C179" s="291">
        <v>1202746.0</v>
      </c>
      <c r="D179" s="292">
        <v>16790.0</v>
      </c>
      <c r="E179" s="293">
        <v>666904.0</v>
      </c>
      <c r="F179" s="284">
        <v>334998.0</v>
      </c>
      <c r="G179" s="331">
        <f>331905*0</f>
        <v>0</v>
      </c>
      <c r="H179" s="284">
        <v>451140.0</v>
      </c>
      <c r="I179" s="332">
        <v>215763.0</v>
      </c>
      <c r="J179" s="297" t="s">
        <v>152</v>
      </c>
      <c r="K179" s="333" t="s">
        <v>429</v>
      </c>
      <c r="L179" s="246"/>
      <c r="M179" s="247"/>
      <c r="N179" s="109"/>
      <c r="O179" s="109"/>
      <c r="P179" s="109"/>
      <c r="Q179" s="109"/>
      <c r="R179" s="109"/>
    </row>
    <row r="180">
      <c r="A180" s="109"/>
      <c r="B180" s="254" t="s">
        <v>430</v>
      </c>
      <c r="C180" s="153"/>
      <c r="D180" s="267">
        <f t="shared" ref="D180:I180" si="22">SUM(D165:D179)</f>
        <v>30537.9</v>
      </c>
      <c r="E180" s="256">
        <f t="shared" si="22"/>
        <v>1211040</v>
      </c>
      <c r="F180" s="256">
        <f t="shared" si="22"/>
        <v>680017</v>
      </c>
      <c r="G180" s="256">
        <f t="shared" si="22"/>
        <v>139305</v>
      </c>
      <c r="H180" s="256">
        <f t="shared" si="22"/>
        <v>854895</v>
      </c>
      <c r="I180" s="256">
        <f t="shared" si="22"/>
        <v>356146</v>
      </c>
      <c r="J180" s="257"/>
      <c r="K180" s="258"/>
      <c r="L180" s="258"/>
      <c r="M180" s="259"/>
      <c r="N180" s="109"/>
      <c r="O180" s="109"/>
      <c r="P180" s="109"/>
      <c r="Q180" s="109"/>
      <c r="R180" s="109"/>
    </row>
    <row r="181">
      <c r="A181" s="109"/>
      <c r="B181" s="343" t="s">
        <v>431</v>
      </c>
      <c r="C181" s="153"/>
      <c r="D181" s="344">
        <f>D69+D79+D87+D99+D104+D110+D117+D125+D133+D142+D164+D180</f>
        <v>94501.18</v>
      </c>
      <c r="E181" s="345">
        <f t="shared" ref="E181:I181" si="23">(E69+E79+E87+E99+E104+E110+E117+E125+E133+E142)+E164+E180</f>
        <v>3726195</v>
      </c>
      <c r="F181" s="345">
        <f t="shared" si="23"/>
        <v>2057100</v>
      </c>
      <c r="G181" s="345">
        <f t="shared" si="23"/>
        <v>1143824</v>
      </c>
      <c r="H181" s="345">
        <f t="shared" si="23"/>
        <v>2645589</v>
      </c>
      <c r="I181" s="345">
        <f t="shared" si="23"/>
        <v>1066504</v>
      </c>
      <c r="J181" s="346"/>
      <c r="K181" s="346"/>
      <c r="L181" s="346"/>
      <c r="M181" s="347"/>
      <c r="N181" s="109"/>
      <c r="O181" s="109"/>
      <c r="P181" s="109"/>
      <c r="Q181" s="109"/>
      <c r="R181" s="109"/>
    </row>
    <row r="182">
      <c r="A182" s="109"/>
      <c r="B182" s="109"/>
      <c r="C182" s="109"/>
      <c r="D182" s="109"/>
      <c r="E182" s="109"/>
      <c r="F182" s="109"/>
      <c r="G182" s="348">
        <f>G181/E181</f>
        <v>0.3069683685</v>
      </c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</row>
    <row r="183">
      <c r="A183" s="109"/>
      <c r="B183" s="349"/>
      <c r="C183" s="211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</row>
    <row r="184">
      <c r="A184" s="109"/>
      <c r="B184" s="211"/>
      <c r="C184" s="211"/>
      <c r="D184" s="109"/>
      <c r="E184" s="109"/>
      <c r="F184" s="109"/>
      <c r="G184" s="350">
        <f>736000</f>
        <v>736000</v>
      </c>
      <c r="H184" s="351" t="s">
        <v>433</v>
      </c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</row>
    <row r="185">
      <c r="A185" s="109"/>
      <c r="B185" s="109"/>
      <c r="C185" s="109"/>
      <c r="D185" s="109"/>
      <c r="E185" s="109"/>
      <c r="F185" s="109"/>
      <c r="G185" s="352">
        <f>G181-G184</f>
        <v>407824</v>
      </c>
      <c r="H185" s="351" t="s">
        <v>95</v>
      </c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</row>
    <row r="186">
      <c r="A186" s="109"/>
      <c r="B186" s="109"/>
      <c r="C186" s="109"/>
      <c r="D186" s="109"/>
      <c r="E186" s="109"/>
      <c r="F186" s="109"/>
      <c r="G186" s="109"/>
      <c r="H186" s="353">
        <v>0.1</v>
      </c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</row>
    <row r="187" hidden="1">
      <c r="A187" s="109"/>
      <c r="B187" s="354" t="s">
        <v>147</v>
      </c>
      <c r="C187" s="354" t="s">
        <v>59</v>
      </c>
      <c r="D187" s="354" t="s">
        <v>60</v>
      </c>
      <c r="E187" s="354" t="s">
        <v>436</v>
      </c>
      <c r="F187" s="354" t="s">
        <v>438</v>
      </c>
      <c r="G187" s="354" t="s">
        <v>439</v>
      </c>
      <c r="H187" s="355" t="s">
        <v>440</v>
      </c>
      <c r="I187" s="354" t="s">
        <v>441</v>
      </c>
      <c r="J187" s="354" t="s">
        <v>442</v>
      </c>
      <c r="K187" s="354" t="s">
        <v>443</v>
      </c>
      <c r="L187" s="354" t="s">
        <v>444</v>
      </c>
      <c r="M187" s="354" t="s">
        <v>445</v>
      </c>
      <c r="N187" s="354" t="s">
        <v>446</v>
      </c>
      <c r="O187" s="356"/>
      <c r="P187" s="109"/>
      <c r="Q187" s="109"/>
      <c r="R187" s="109"/>
    </row>
    <row r="188" hidden="1">
      <c r="A188" s="109"/>
      <c r="B188" s="354" t="s">
        <v>58</v>
      </c>
      <c r="C188" s="357">
        <f>E65+E67</f>
        <v>10808</v>
      </c>
      <c r="D188" s="357">
        <f>E72</f>
        <v>2319</v>
      </c>
      <c r="E188" s="356"/>
      <c r="F188" s="356"/>
      <c r="G188" s="356"/>
      <c r="H188" s="358"/>
      <c r="I188" s="356"/>
      <c r="J188" s="356"/>
      <c r="K188" s="356"/>
      <c r="L188" s="356"/>
      <c r="M188" s="356"/>
      <c r="N188" s="356"/>
      <c r="O188" s="356"/>
      <c r="P188" s="359">
        <f t="shared" ref="P188:P190" si="24">SUM(C188:N188)</f>
        <v>13127</v>
      </c>
      <c r="Q188" s="109"/>
      <c r="R188" s="109"/>
    </row>
    <row r="189" hidden="1">
      <c r="A189" s="109"/>
      <c r="B189" s="354" t="s">
        <v>152</v>
      </c>
      <c r="C189" s="357">
        <f>E66</f>
        <v>922</v>
      </c>
      <c r="D189" s="357">
        <f>E71</f>
        <v>6709</v>
      </c>
      <c r="E189" s="356"/>
      <c r="F189" s="356"/>
      <c r="G189" s="356"/>
      <c r="H189" s="358"/>
      <c r="I189" s="356"/>
      <c r="J189" s="356"/>
      <c r="K189" s="356"/>
      <c r="L189" s="356"/>
      <c r="M189" s="356"/>
      <c r="N189" s="356"/>
      <c r="O189" s="356"/>
      <c r="P189" s="359">
        <f t="shared" si="24"/>
        <v>7631</v>
      </c>
      <c r="Q189" s="109"/>
      <c r="R189" s="109"/>
    </row>
    <row r="190" hidden="1">
      <c r="A190" s="109"/>
      <c r="B190" s="354" t="s">
        <v>40</v>
      </c>
      <c r="C190" s="357">
        <f>E68</f>
        <v>11690</v>
      </c>
      <c r="D190" s="357">
        <f>E70</f>
        <v>43639</v>
      </c>
      <c r="E190" s="356"/>
      <c r="F190" s="356"/>
      <c r="G190" s="356"/>
      <c r="H190" s="358"/>
      <c r="I190" s="356"/>
      <c r="J190" s="356"/>
      <c r="K190" s="356"/>
      <c r="L190" s="356"/>
      <c r="M190" s="356"/>
      <c r="N190" s="356"/>
      <c r="O190" s="356"/>
      <c r="P190" s="359">
        <f t="shared" si="24"/>
        <v>55329</v>
      </c>
      <c r="Q190" s="109"/>
      <c r="R190" s="109"/>
    </row>
    <row r="191" hidden="1">
      <c r="A191" s="109"/>
      <c r="B191" s="109"/>
      <c r="C191" s="359">
        <f t="shared" ref="C191:N191" si="25">SUM(C188:C190)</f>
        <v>23420</v>
      </c>
      <c r="D191" s="359">
        <f t="shared" si="25"/>
        <v>52667</v>
      </c>
      <c r="E191" s="109">
        <f t="shared" si="25"/>
        <v>0</v>
      </c>
      <c r="F191" s="109">
        <f t="shared" si="25"/>
        <v>0</v>
      </c>
      <c r="G191" s="109">
        <f t="shared" si="25"/>
        <v>0</v>
      </c>
      <c r="H191" s="360">
        <f t="shared" si="25"/>
        <v>0</v>
      </c>
      <c r="I191" s="109">
        <f t="shared" si="25"/>
        <v>0</v>
      </c>
      <c r="J191" s="109">
        <f t="shared" si="25"/>
        <v>0</v>
      </c>
      <c r="K191" s="109">
        <f t="shared" si="25"/>
        <v>0</v>
      </c>
      <c r="L191" s="109">
        <f t="shared" si="25"/>
        <v>0</v>
      </c>
      <c r="M191" s="109">
        <f t="shared" si="25"/>
        <v>0</v>
      </c>
      <c r="N191" s="109">
        <f t="shared" si="25"/>
        <v>0</v>
      </c>
      <c r="O191" s="109"/>
      <c r="P191" s="109"/>
      <c r="Q191" s="109"/>
      <c r="R191" s="109"/>
    </row>
    <row r="192" hidden="1">
      <c r="A192" s="109"/>
      <c r="B192" s="109"/>
      <c r="C192" s="109"/>
      <c r="D192" s="109"/>
      <c r="E192" s="109"/>
      <c r="F192" s="109"/>
      <c r="G192" s="109"/>
      <c r="H192" s="360"/>
      <c r="I192" s="109"/>
      <c r="J192" s="109"/>
      <c r="K192" s="109"/>
      <c r="L192" s="109"/>
      <c r="M192" s="109"/>
      <c r="N192" s="359">
        <f>SUM(C191:N191)</f>
        <v>76087</v>
      </c>
      <c r="O192" s="109"/>
      <c r="P192" s="109"/>
      <c r="Q192" s="109"/>
      <c r="R192" s="109"/>
    </row>
    <row r="193">
      <c r="A193" s="109"/>
      <c r="B193" s="109"/>
      <c r="C193" s="109"/>
      <c r="D193" s="109"/>
      <c r="E193" s="109"/>
      <c r="F193" s="109"/>
      <c r="G193" s="352">
        <f>G185*H186</f>
        <v>40782.4</v>
      </c>
      <c r="H193" s="361" t="s">
        <v>449</v>
      </c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</row>
    <row r="194">
      <c r="A194" s="109"/>
      <c r="B194" s="109"/>
      <c r="C194" s="109"/>
      <c r="D194" s="109"/>
      <c r="E194" s="109"/>
      <c r="F194" s="109"/>
      <c r="G194" s="362">
        <f>BONOS!H32+BONOS!I32</f>
        <v>8188.5</v>
      </c>
      <c r="H194" s="351" t="s">
        <v>122</v>
      </c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</row>
    <row r="195">
      <c r="A195" s="109"/>
      <c r="B195" s="109"/>
      <c r="C195" s="109"/>
      <c r="D195" s="109"/>
      <c r="E195" s="109"/>
      <c r="F195" s="109"/>
      <c r="G195" s="352">
        <f>G193-G194</f>
        <v>32593.9</v>
      </c>
      <c r="H195" s="361" t="s">
        <v>450</v>
      </c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>
      <c r="A197" s="109"/>
      <c r="B197" s="109"/>
      <c r="C197" s="109"/>
      <c r="D197" s="109"/>
      <c r="E197" s="109"/>
      <c r="F197" s="211">
        <v>0.0</v>
      </c>
      <c r="G197" s="363">
        <f>2372+1913+2076</f>
        <v>6361</v>
      </c>
      <c r="H197" s="364" t="s">
        <v>451</v>
      </c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199">
      <c r="A199" s="109"/>
      <c r="B199" s="109"/>
      <c r="C199" s="109"/>
      <c r="D199" s="109"/>
      <c r="E199" s="109"/>
      <c r="F199" s="109"/>
      <c r="G199" s="352">
        <f>G195+G197</f>
        <v>38954.9</v>
      </c>
      <c r="H199" s="364" t="s">
        <v>455</v>
      </c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</row>
    <row r="100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</row>
    <row r="1002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</row>
    <row r="1003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</row>
    <row r="1004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</row>
    <row r="1005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</row>
    <row r="1006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</row>
    <row r="1007">
      <c r="A1007" s="109"/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</row>
    <row r="1008">
      <c r="A1008" s="109"/>
      <c r="B1008" s="109"/>
      <c r="C1008" s="109"/>
      <c r="D1008" s="109"/>
      <c r="E1008" s="109"/>
      <c r="F1008" s="10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</row>
    <row r="1009">
      <c r="A1009" s="109"/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</row>
    <row r="1010">
      <c r="A1010" s="109"/>
      <c r="B1010" s="109"/>
      <c r="C1010" s="109"/>
      <c r="D1010" s="109"/>
      <c r="E1010" s="109"/>
      <c r="F1010" s="10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</row>
    <row r="1011">
      <c r="A1011" s="109"/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</row>
    <row r="1012">
      <c r="A1012" s="109"/>
      <c r="B1012" s="109"/>
      <c r="C1012" s="109"/>
      <c r="D1012" s="109"/>
      <c r="E1012" s="109"/>
      <c r="F1012" s="109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</row>
    <row r="1013">
      <c r="A1013" s="109"/>
      <c r="B1013" s="109"/>
      <c r="C1013" s="109"/>
      <c r="D1013" s="109"/>
      <c r="E1013" s="109"/>
      <c r="F1013" s="10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</row>
    <row r="1014">
      <c r="A1014" s="109"/>
      <c r="B1014" s="109"/>
      <c r="C1014" s="109"/>
      <c r="D1014" s="109"/>
      <c r="E1014" s="109"/>
      <c r="F1014" s="10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</row>
    <row r="1015">
      <c r="A1015" s="109"/>
      <c r="B1015" s="109"/>
      <c r="C1015" s="109"/>
      <c r="D1015" s="109"/>
      <c r="E1015" s="109"/>
      <c r="F1015" s="10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</row>
    <row r="1016">
      <c r="A1016" s="109"/>
      <c r="B1016" s="109"/>
      <c r="C1016" s="109"/>
      <c r="D1016" s="109"/>
      <c r="E1016" s="109"/>
      <c r="F1016" s="109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</row>
    <row r="1017">
      <c r="A1017" s="109"/>
      <c r="B1017" s="109"/>
      <c r="C1017" s="109"/>
      <c r="D1017" s="109"/>
      <c r="E1017" s="109"/>
      <c r="F1017" s="10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</row>
    <row r="1018">
      <c r="A1018" s="109"/>
      <c r="B1018" s="109"/>
      <c r="C1018" s="109"/>
      <c r="D1018" s="109"/>
      <c r="E1018" s="109"/>
      <c r="F1018" s="109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</row>
    <row r="1019">
      <c r="A1019" s="109"/>
      <c r="B1019" s="109"/>
      <c r="C1019" s="109"/>
      <c r="D1019" s="109"/>
      <c r="E1019" s="109"/>
      <c r="F1019" s="109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</row>
    <row r="1020">
      <c r="A1020" s="109"/>
      <c r="B1020" s="109"/>
      <c r="C1020" s="109"/>
      <c r="D1020" s="109"/>
      <c r="E1020" s="109"/>
      <c r="F1020" s="109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</row>
    <row r="1021">
      <c r="A1021" s="109"/>
      <c r="B1021" s="109"/>
      <c r="C1021" s="109"/>
      <c r="D1021" s="109"/>
      <c r="E1021" s="109"/>
      <c r="F1021" s="109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</row>
    <row r="1022">
      <c r="A1022" s="109"/>
      <c r="B1022" s="109"/>
      <c r="C1022" s="109"/>
      <c r="D1022" s="109"/>
      <c r="E1022" s="109"/>
      <c r="F1022" s="109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</row>
    <row r="1023">
      <c r="A1023" s="109"/>
      <c r="B1023" s="109"/>
      <c r="C1023" s="109"/>
      <c r="D1023" s="109"/>
      <c r="E1023" s="109"/>
      <c r="F1023" s="109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</row>
    <row r="1024">
      <c r="A1024" s="109"/>
      <c r="B1024" s="109"/>
      <c r="C1024" s="109"/>
      <c r="D1024" s="109"/>
      <c r="E1024" s="109"/>
      <c r="F1024" s="109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</row>
    <row r="1025">
      <c r="A1025" s="109"/>
      <c r="B1025" s="109"/>
      <c r="C1025" s="109"/>
      <c r="D1025" s="109"/>
      <c r="E1025" s="109"/>
      <c r="F1025" s="109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</row>
    <row r="1026">
      <c r="A1026" s="109"/>
      <c r="B1026" s="109"/>
      <c r="C1026" s="109"/>
      <c r="D1026" s="109"/>
      <c r="E1026" s="109"/>
      <c r="F1026" s="109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</row>
    <row r="1027">
      <c r="A1027" s="109"/>
      <c r="B1027" s="109"/>
      <c r="C1027" s="109"/>
      <c r="D1027" s="109"/>
      <c r="E1027" s="109"/>
      <c r="F1027" s="109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</row>
    <row r="1028">
      <c r="A1028" s="109"/>
      <c r="B1028" s="109"/>
      <c r="C1028" s="109"/>
      <c r="D1028" s="109"/>
      <c r="E1028" s="109"/>
      <c r="F1028" s="109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</row>
    <row r="1029">
      <c r="A1029" s="109"/>
      <c r="B1029" s="109"/>
      <c r="C1029" s="109"/>
      <c r="D1029" s="109"/>
      <c r="E1029" s="109"/>
      <c r="F1029" s="109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</row>
    <row r="1030">
      <c r="A1030" s="109"/>
      <c r="B1030" s="109"/>
      <c r="C1030" s="109"/>
      <c r="D1030" s="109"/>
      <c r="E1030" s="109"/>
      <c r="F1030" s="109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</row>
    <row r="1031">
      <c r="A1031" s="109"/>
      <c r="B1031" s="109"/>
      <c r="C1031" s="109"/>
      <c r="D1031" s="109"/>
      <c r="E1031" s="109"/>
      <c r="F1031" s="109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</row>
    <row r="1032">
      <c r="A1032" s="109"/>
      <c r="B1032" s="109"/>
      <c r="C1032" s="109"/>
      <c r="D1032" s="109"/>
      <c r="E1032" s="109"/>
      <c r="F1032" s="109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</row>
    <row r="1033">
      <c r="A1033" s="109"/>
      <c r="B1033" s="109"/>
      <c r="C1033" s="109"/>
      <c r="D1033" s="109"/>
      <c r="E1033" s="109"/>
      <c r="F1033" s="109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</row>
    <row r="1034">
      <c r="A1034" s="109"/>
      <c r="B1034" s="109"/>
      <c r="C1034" s="109"/>
      <c r="D1034" s="109"/>
      <c r="E1034" s="109"/>
      <c r="F1034" s="109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</row>
    <row r="1035">
      <c r="A1035" s="109"/>
      <c r="B1035" s="109"/>
      <c r="C1035" s="109"/>
      <c r="D1035" s="109"/>
      <c r="E1035" s="109"/>
      <c r="F1035" s="109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</row>
    <row r="1036">
      <c r="A1036" s="109"/>
      <c r="B1036" s="109"/>
      <c r="C1036" s="109"/>
      <c r="D1036" s="109"/>
      <c r="E1036" s="109"/>
      <c r="F1036" s="109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</row>
    <row r="1037">
      <c r="A1037" s="109"/>
      <c r="B1037" s="109"/>
      <c r="C1037" s="109"/>
      <c r="D1037" s="109"/>
      <c r="E1037" s="109"/>
      <c r="F1037" s="109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</row>
    <row r="1038">
      <c r="A1038" s="109"/>
      <c r="B1038" s="109"/>
      <c r="C1038" s="109"/>
      <c r="D1038" s="109"/>
      <c r="E1038" s="109"/>
      <c r="F1038" s="109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</row>
    <row r="1039">
      <c r="A1039" s="109"/>
      <c r="B1039" s="109"/>
      <c r="C1039" s="109"/>
      <c r="D1039" s="109"/>
      <c r="E1039" s="109"/>
      <c r="F1039" s="109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</row>
    <row r="1040">
      <c r="A1040" s="109"/>
      <c r="B1040" s="109"/>
      <c r="C1040" s="109"/>
      <c r="D1040" s="109"/>
      <c r="E1040" s="109"/>
      <c r="F1040" s="109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</row>
    <row r="1041">
      <c r="A1041" s="109"/>
      <c r="B1041" s="109"/>
      <c r="C1041" s="109"/>
      <c r="D1041" s="109"/>
      <c r="E1041" s="109"/>
      <c r="F1041" s="109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</row>
    <row r="1042">
      <c r="A1042" s="109"/>
      <c r="B1042" s="109"/>
      <c r="C1042" s="109"/>
      <c r="D1042" s="109"/>
      <c r="E1042" s="109"/>
      <c r="F1042" s="109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</row>
    <row r="1043">
      <c r="A1043" s="109"/>
      <c r="B1043" s="109"/>
      <c r="C1043" s="109"/>
      <c r="D1043" s="109"/>
      <c r="E1043" s="109"/>
      <c r="F1043" s="109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</row>
    <row r="1044">
      <c r="A1044" s="109"/>
      <c r="B1044" s="109"/>
      <c r="C1044" s="109"/>
      <c r="D1044" s="109"/>
      <c r="E1044" s="109"/>
      <c r="F1044" s="109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</row>
    <row r="1045">
      <c r="A1045" s="109"/>
      <c r="B1045" s="109"/>
      <c r="C1045" s="109"/>
      <c r="D1045" s="109"/>
      <c r="E1045" s="109"/>
      <c r="F1045" s="109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</row>
    <row r="1046">
      <c r="A1046" s="109"/>
      <c r="B1046" s="109"/>
      <c r="C1046" s="109"/>
      <c r="D1046" s="109"/>
      <c r="E1046" s="109"/>
      <c r="F1046" s="109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</row>
    <row r="1047">
      <c r="A1047" s="109"/>
      <c r="B1047" s="109"/>
      <c r="C1047" s="109"/>
      <c r="D1047" s="109"/>
      <c r="E1047" s="109"/>
      <c r="F1047" s="109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</row>
    <row r="1048">
      <c r="A1048" s="109"/>
      <c r="B1048" s="109"/>
      <c r="C1048" s="109"/>
      <c r="D1048" s="109"/>
      <c r="E1048" s="109"/>
      <c r="F1048" s="109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</row>
    <row r="1049">
      <c r="A1049" s="109"/>
      <c r="B1049" s="109"/>
      <c r="C1049" s="109"/>
      <c r="D1049" s="109"/>
      <c r="E1049" s="109"/>
      <c r="F1049" s="109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</row>
    <row r="1050">
      <c r="A1050" s="109"/>
      <c r="B1050" s="109"/>
      <c r="C1050" s="109"/>
      <c r="D1050" s="109"/>
      <c r="E1050" s="109"/>
      <c r="F1050" s="109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</row>
    <row r="1051">
      <c r="A1051" s="109"/>
      <c r="B1051" s="109"/>
      <c r="C1051" s="109"/>
      <c r="D1051" s="109"/>
      <c r="E1051" s="109"/>
      <c r="F1051" s="109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</row>
    <row r="1052">
      <c r="A1052" s="109"/>
      <c r="B1052" s="109"/>
      <c r="C1052" s="109"/>
      <c r="D1052" s="109"/>
      <c r="E1052" s="109"/>
      <c r="F1052" s="109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</row>
    <row r="1053">
      <c r="A1053" s="109"/>
      <c r="B1053" s="109"/>
      <c r="C1053" s="109"/>
      <c r="D1053" s="109"/>
      <c r="E1053" s="109"/>
      <c r="F1053" s="109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</row>
    <row r="1054">
      <c r="A1054" s="109"/>
      <c r="B1054" s="109"/>
      <c r="C1054" s="109"/>
      <c r="D1054" s="109"/>
      <c r="E1054" s="109"/>
      <c r="F1054" s="109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</row>
    <row r="1055">
      <c r="A1055" s="109"/>
      <c r="B1055" s="109"/>
      <c r="C1055" s="109"/>
      <c r="D1055" s="109"/>
      <c r="E1055" s="109"/>
      <c r="F1055" s="109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</row>
    <row r="1056">
      <c r="A1056" s="109"/>
      <c r="B1056" s="109"/>
      <c r="C1056" s="109"/>
      <c r="D1056" s="109"/>
      <c r="E1056" s="109"/>
      <c r="F1056" s="109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</row>
    <row r="1057">
      <c r="A1057" s="109"/>
      <c r="B1057" s="109"/>
      <c r="C1057" s="109"/>
      <c r="D1057" s="109"/>
      <c r="E1057" s="109"/>
      <c r="F1057" s="109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</row>
    <row r="1058">
      <c r="A1058" s="109"/>
      <c r="B1058" s="109"/>
      <c r="C1058" s="109"/>
      <c r="D1058" s="109"/>
      <c r="E1058" s="109"/>
      <c r="F1058" s="109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</row>
    <row r="1059">
      <c r="A1059" s="109"/>
      <c r="B1059" s="109"/>
      <c r="C1059" s="109"/>
      <c r="D1059" s="109"/>
      <c r="E1059" s="109"/>
      <c r="F1059" s="109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</row>
    <row r="1060">
      <c r="A1060" s="109"/>
      <c r="B1060" s="109"/>
      <c r="C1060" s="109"/>
      <c r="D1060" s="109"/>
      <c r="E1060" s="109"/>
      <c r="F1060" s="109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</row>
    <row r="1061">
      <c r="A1061" s="109"/>
      <c r="B1061" s="109"/>
      <c r="C1061" s="109"/>
      <c r="D1061" s="109"/>
      <c r="E1061" s="109"/>
      <c r="F1061" s="109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</row>
    <row r="1062">
      <c r="A1062" s="109"/>
      <c r="B1062" s="109"/>
      <c r="C1062" s="109"/>
      <c r="D1062" s="109"/>
      <c r="E1062" s="109"/>
      <c r="F1062" s="109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</row>
    <row r="1063">
      <c r="A1063" s="109"/>
      <c r="B1063" s="109"/>
      <c r="C1063" s="109"/>
      <c r="D1063" s="109"/>
      <c r="E1063" s="109"/>
      <c r="F1063" s="109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</row>
    <row r="1064">
      <c r="A1064" s="109"/>
      <c r="B1064" s="109"/>
      <c r="C1064" s="109"/>
      <c r="D1064" s="109"/>
      <c r="E1064" s="109"/>
      <c r="F1064" s="109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</row>
    <row r="1065">
      <c r="A1065" s="109"/>
      <c r="B1065" s="109"/>
      <c r="C1065" s="109"/>
      <c r="D1065" s="109"/>
      <c r="E1065" s="109"/>
      <c r="F1065" s="109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</row>
    <row r="1066">
      <c r="A1066" s="109"/>
      <c r="B1066" s="109"/>
      <c r="C1066" s="109"/>
      <c r="D1066" s="109"/>
      <c r="E1066" s="109"/>
      <c r="F1066" s="109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</row>
    <row r="1067">
      <c r="A1067" s="109"/>
      <c r="B1067" s="109"/>
      <c r="C1067" s="109"/>
      <c r="D1067" s="109"/>
      <c r="E1067" s="109"/>
      <c r="F1067" s="109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</row>
    <row r="1068">
      <c r="A1068" s="109"/>
      <c r="B1068" s="109"/>
      <c r="C1068" s="109"/>
      <c r="D1068" s="109"/>
      <c r="E1068" s="109"/>
      <c r="F1068" s="109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</row>
    <row r="1069">
      <c r="A1069" s="109"/>
      <c r="B1069" s="109"/>
      <c r="C1069" s="109"/>
      <c r="D1069" s="109"/>
      <c r="E1069" s="109"/>
      <c r="F1069" s="109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</row>
    <row r="1070">
      <c r="A1070" s="109"/>
      <c r="B1070" s="109"/>
      <c r="C1070" s="109"/>
      <c r="D1070" s="109"/>
      <c r="E1070" s="109"/>
      <c r="F1070" s="109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</row>
    <row r="1071">
      <c r="A1071" s="109"/>
      <c r="B1071" s="109"/>
      <c r="C1071" s="109"/>
      <c r="D1071" s="109"/>
      <c r="E1071" s="109"/>
      <c r="F1071" s="109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</row>
    <row r="1072">
      <c r="A1072" s="109"/>
      <c r="B1072" s="109"/>
      <c r="C1072" s="109"/>
      <c r="D1072" s="109"/>
      <c r="E1072" s="109"/>
      <c r="F1072" s="109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</row>
    <row r="1073">
      <c r="A1073" s="109"/>
      <c r="B1073" s="109"/>
      <c r="C1073" s="109"/>
      <c r="D1073" s="109"/>
      <c r="E1073" s="109"/>
      <c r="F1073" s="109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</row>
    <row r="1074">
      <c r="A1074" s="109"/>
      <c r="B1074" s="109"/>
      <c r="C1074" s="109"/>
      <c r="D1074" s="109"/>
      <c r="E1074" s="109"/>
      <c r="F1074" s="109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</row>
    <row r="1075">
      <c r="A1075" s="109"/>
      <c r="B1075" s="109"/>
      <c r="C1075" s="109"/>
      <c r="D1075" s="109"/>
      <c r="E1075" s="109"/>
      <c r="F1075" s="109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</row>
    <row r="1076">
      <c r="A1076" s="109"/>
      <c r="B1076" s="109"/>
      <c r="C1076" s="109"/>
      <c r="D1076" s="109"/>
      <c r="E1076" s="109"/>
      <c r="F1076" s="109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</row>
    <row r="1077">
      <c r="A1077" s="109"/>
      <c r="B1077" s="109"/>
      <c r="C1077" s="109"/>
      <c r="D1077" s="109"/>
      <c r="E1077" s="109"/>
      <c r="F1077" s="109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</row>
    <row r="1078">
      <c r="A1078" s="109"/>
      <c r="B1078" s="109"/>
      <c r="C1078" s="109"/>
      <c r="D1078" s="109"/>
      <c r="E1078" s="109"/>
      <c r="F1078" s="109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</row>
    <row r="1079">
      <c r="A1079" s="109"/>
      <c r="B1079" s="109"/>
      <c r="C1079" s="109"/>
      <c r="D1079" s="109"/>
      <c r="E1079" s="109"/>
      <c r="F1079" s="109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</row>
    <row r="1080">
      <c r="A1080" s="109"/>
      <c r="B1080" s="109"/>
      <c r="C1080" s="109"/>
      <c r="D1080" s="109"/>
      <c r="E1080" s="109"/>
      <c r="F1080" s="109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</row>
    <row r="1081">
      <c r="A1081" s="109"/>
      <c r="B1081" s="109"/>
      <c r="C1081" s="109"/>
      <c r="D1081" s="109"/>
      <c r="E1081" s="109"/>
      <c r="F1081" s="109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</row>
    <row r="1082">
      <c r="A1082" s="109"/>
      <c r="B1082" s="109"/>
      <c r="C1082" s="109"/>
      <c r="D1082" s="109"/>
      <c r="E1082" s="109"/>
      <c r="F1082" s="109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</row>
    <row r="1083">
      <c r="A1083" s="109"/>
      <c r="B1083" s="109"/>
      <c r="C1083" s="109"/>
      <c r="D1083" s="109"/>
      <c r="E1083" s="109"/>
      <c r="F1083" s="109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</row>
    <row r="1084">
      <c r="A1084" s="109"/>
      <c r="B1084" s="109"/>
      <c r="C1084" s="109"/>
      <c r="D1084" s="109"/>
      <c r="E1084" s="109"/>
      <c r="F1084" s="109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</row>
    <row r="1085">
      <c r="A1085" s="109"/>
      <c r="B1085" s="109"/>
      <c r="C1085" s="109"/>
      <c r="D1085" s="109"/>
      <c r="E1085" s="109"/>
      <c r="F1085" s="109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</row>
    <row r="1086">
      <c r="A1086" s="109"/>
      <c r="B1086" s="109"/>
      <c r="C1086" s="109"/>
      <c r="D1086" s="109"/>
      <c r="E1086" s="109"/>
      <c r="F1086" s="109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</row>
    <row r="1087">
      <c r="A1087" s="109"/>
      <c r="B1087" s="109"/>
      <c r="C1087" s="109"/>
      <c r="D1087" s="109"/>
      <c r="E1087" s="109"/>
      <c r="F1087" s="109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</row>
    <row r="1088">
      <c r="A1088" s="109"/>
      <c r="B1088" s="109"/>
      <c r="C1088" s="109"/>
      <c r="D1088" s="109"/>
      <c r="E1088" s="109"/>
      <c r="F1088" s="109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</row>
    <row r="1089">
      <c r="A1089" s="109"/>
      <c r="B1089" s="109"/>
      <c r="C1089" s="109"/>
      <c r="D1089" s="109"/>
      <c r="E1089" s="109"/>
      <c r="F1089" s="109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</row>
    <row r="1090">
      <c r="A1090" s="109"/>
      <c r="B1090" s="109"/>
      <c r="C1090" s="109"/>
      <c r="D1090" s="109"/>
      <c r="E1090" s="109"/>
      <c r="F1090" s="109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</row>
    <row r="1091">
      <c r="A1091" s="109"/>
      <c r="B1091" s="109"/>
      <c r="C1091" s="109"/>
      <c r="D1091" s="109"/>
      <c r="E1091" s="109"/>
      <c r="F1091" s="109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</row>
    <row r="1092">
      <c r="A1092" s="109"/>
      <c r="B1092" s="109"/>
      <c r="C1092" s="109"/>
      <c r="D1092" s="109"/>
      <c r="E1092" s="109"/>
      <c r="F1092" s="109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</row>
    <row r="1093">
      <c r="A1093" s="109"/>
      <c r="B1093" s="109"/>
      <c r="C1093" s="109"/>
      <c r="D1093" s="109"/>
      <c r="E1093" s="109"/>
      <c r="F1093" s="109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</row>
    <row r="1094">
      <c r="A1094" s="109"/>
      <c r="B1094" s="109"/>
      <c r="C1094" s="109"/>
      <c r="D1094" s="109"/>
      <c r="E1094" s="109"/>
      <c r="F1094" s="109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</row>
    <row r="1095">
      <c r="A1095" s="109"/>
      <c r="B1095" s="109"/>
      <c r="C1095" s="109"/>
      <c r="D1095" s="109"/>
      <c r="E1095" s="109"/>
      <c r="F1095" s="109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</row>
    <row r="1096">
      <c r="A1096" s="109"/>
      <c r="B1096" s="109"/>
      <c r="C1096" s="109"/>
      <c r="D1096" s="109"/>
      <c r="E1096" s="109"/>
      <c r="F1096" s="109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</row>
    <row r="1097">
      <c r="A1097" s="109"/>
      <c r="B1097" s="109"/>
      <c r="C1097" s="109"/>
      <c r="D1097" s="109"/>
      <c r="E1097" s="109"/>
      <c r="F1097" s="109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</row>
    <row r="1098">
      <c r="A1098" s="109"/>
      <c r="B1098" s="109"/>
      <c r="C1098" s="109"/>
      <c r="D1098" s="109"/>
      <c r="E1098" s="109"/>
      <c r="F1098" s="109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</row>
    <row r="1099">
      <c r="A1099" s="109"/>
      <c r="B1099" s="109"/>
      <c r="C1099" s="109"/>
      <c r="D1099" s="109"/>
      <c r="E1099" s="109"/>
      <c r="F1099" s="109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</row>
    <row r="1100">
      <c r="A1100" s="109"/>
      <c r="B1100" s="109"/>
      <c r="C1100" s="109"/>
      <c r="D1100" s="109"/>
      <c r="E1100" s="109"/>
      <c r="F1100" s="109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</row>
    <row r="1101">
      <c r="A1101" s="109"/>
      <c r="B1101" s="109"/>
      <c r="C1101" s="109"/>
      <c r="D1101" s="109"/>
      <c r="E1101" s="109"/>
      <c r="F1101" s="109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</row>
    <row r="1102">
      <c r="A1102" s="109"/>
      <c r="B1102" s="109"/>
      <c r="C1102" s="109"/>
      <c r="D1102" s="109"/>
      <c r="E1102" s="109"/>
      <c r="F1102" s="109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</row>
    <row r="1103">
      <c r="A1103" s="109"/>
      <c r="B1103" s="109"/>
      <c r="C1103" s="109"/>
      <c r="D1103" s="109"/>
      <c r="E1103" s="109"/>
      <c r="F1103" s="109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</row>
    <row r="1104">
      <c r="A1104" s="109"/>
      <c r="B1104" s="109"/>
      <c r="C1104" s="109"/>
      <c r="D1104" s="109"/>
      <c r="E1104" s="109"/>
      <c r="F1104" s="109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</row>
    <row r="1105">
      <c r="A1105" s="109"/>
      <c r="B1105" s="109"/>
      <c r="C1105" s="109"/>
      <c r="D1105" s="109"/>
      <c r="E1105" s="109"/>
      <c r="F1105" s="109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</row>
    <row r="1106">
      <c r="A1106" s="109"/>
      <c r="B1106" s="109"/>
      <c r="C1106" s="109"/>
      <c r="D1106" s="109"/>
      <c r="E1106" s="109"/>
      <c r="F1106" s="109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</row>
    <row r="1107">
      <c r="A1107" s="109"/>
      <c r="B1107" s="109"/>
      <c r="C1107" s="109"/>
      <c r="D1107" s="109"/>
      <c r="E1107" s="109"/>
      <c r="F1107" s="109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</row>
    <row r="1108">
      <c r="A1108" s="109"/>
      <c r="B1108" s="109"/>
      <c r="C1108" s="109"/>
      <c r="D1108" s="109"/>
      <c r="E1108" s="109"/>
      <c r="F1108" s="109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</row>
    <row r="1109">
      <c r="A1109" s="109"/>
      <c r="B1109" s="109"/>
      <c r="C1109" s="109"/>
      <c r="D1109" s="109"/>
      <c r="E1109" s="109"/>
      <c r="F1109" s="109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</row>
    <row r="1110">
      <c r="A1110" s="109"/>
      <c r="B1110" s="109"/>
      <c r="C1110" s="109"/>
      <c r="D1110" s="109"/>
      <c r="E1110" s="109"/>
      <c r="F1110" s="109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</row>
    <row r="1111">
      <c r="A1111" s="109"/>
      <c r="B1111" s="109"/>
      <c r="C1111" s="109"/>
      <c r="D1111" s="109"/>
      <c r="E1111" s="109"/>
      <c r="F1111" s="109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</row>
    <row r="1112">
      <c r="A1112" s="109"/>
      <c r="B1112" s="109"/>
      <c r="C1112" s="109"/>
      <c r="D1112" s="109"/>
      <c r="E1112" s="109"/>
      <c r="F1112" s="109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</row>
    <row r="1113">
      <c r="A1113" s="109"/>
      <c r="B1113" s="109"/>
      <c r="C1113" s="109"/>
      <c r="D1113" s="109"/>
      <c r="E1113" s="109"/>
      <c r="F1113" s="109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</row>
    <row r="1114">
      <c r="A1114" s="109"/>
      <c r="B1114" s="109"/>
      <c r="C1114" s="109"/>
      <c r="D1114" s="109"/>
      <c r="E1114" s="109"/>
      <c r="F1114" s="109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</row>
  </sheetData>
  <autoFilter ref="$B$64:$J$182"/>
  <mergeCells count="15">
    <mergeCell ref="B110:C110"/>
    <mergeCell ref="B117:C117"/>
    <mergeCell ref="B125:C125"/>
    <mergeCell ref="B133:C133"/>
    <mergeCell ref="B142:C142"/>
    <mergeCell ref="B164:C164"/>
    <mergeCell ref="B180:C180"/>
    <mergeCell ref="B181:C181"/>
    <mergeCell ref="B1:O1"/>
    <mergeCell ref="K64:M64"/>
    <mergeCell ref="B69:C69"/>
    <mergeCell ref="B79:C79"/>
    <mergeCell ref="B87:C87"/>
    <mergeCell ref="B99:C99"/>
    <mergeCell ref="B104:C10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38"/>
    <col customWidth="1" min="2" max="2" width="12.75"/>
    <col customWidth="1" min="3" max="3" width="4.25"/>
    <col customWidth="1" min="4" max="4" width="16.13"/>
    <col customWidth="1" min="5" max="5" width="35.63"/>
    <col customWidth="1" min="6" max="6" width="8.63"/>
    <col customWidth="1" min="7" max="7" width="9.63"/>
    <col customWidth="1" min="8" max="8" width="6.0"/>
    <col customWidth="1" min="9" max="9" width="14.13"/>
    <col customWidth="1" min="10" max="10" width="13.5"/>
    <col customWidth="1" min="11" max="11" width="4.75"/>
    <col customWidth="1" hidden="1" min="12" max="21" width="11.5"/>
    <col hidden="1" min="22" max="29" width="12.63"/>
  </cols>
  <sheetData>
    <row r="1">
      <c r="A1" s="5" t="s">
        <v>4</v>
      </c>
      <c r="W1" s="8"/>
      <c r="X1" s="8"/>
      <c r="Y1" s="8"/>
      <c r="Z1" s="8"/>
      <c r="AA1" s="8"/>
      <c r="AD1" s="10">
        <v>1.0</v>
      </c>
      <c r="AE1" s="11" t="s">
        <v>8</v>
      </c>
      <c r="AF1" s="8"/>
      <c r="AG1" s="8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</row>
    <row r="2">
      <c r="A2" s="16"/>
      <c r="B2" s="17"/>
      <c r="C2" s="19"/>
      <c r="D2" s="19"/>
      <c r="E2" s="19"/>
      <c r="F2" s="19"/>
      <c r="G2" s="21"/>
      <c r="H2" s="19"/>
      <c r="I2" s="21"/>
      <c r="L2" s="23"/>
      <c r="M2" s="23"/>
      <c r="N2" s="23"/>
      <c r="O2" s="23"/>
      <c r="P2" s="23"/>
      <c r="Q2" s="23"/>
      <c r="R2" s="23"/>
      <c r="S2" s="23"/>
      <c r="T2" s="23"/>
      <c r="U2" s="16"/>
      <c r="V2" s="16"/>
      <c r="W2" s="16"/>
      <c r="X2" s="28"/>
      <c r="Y2" s="28"/>
      <c r="Z2" s="12"/>
      <c r="AA2" s="28"/>
      <c r="AD2" s="10">
        <v>0.0</v>
      </c>
      <c r="AE2" s="29" t="s">
        <v>15</v>
      </c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</row>
    <row r="3">
      <c r="A3" s="16"/>
      <c r="B3" s="30" t="s">
        <v>16</v>
      </c>
      <c r="C3" s="32"/>
      <c r="D3" s="32" t="s">
        <v>17</v>
      </c>
      <c r="E3" s="32" t="s">
        <v>18</v>
      </c>
      <c r="F3" s="33">
        <v>1.0</v>
      </c>
      <c r="G3" s="35" t="s">
        <v>20</v>
      </c>
      <c r="H3" s="32" t="s">
        <v>21</v>
      </c>
      <c r="I3" s="35" t="s">
        <v>22</v>
      </c>
      <c r="J3" s="36" t="s">
        <v>23</v>
      </c>
      <c r="K3" s="37"/>
      <c r="L3" s="36" t="s">
        <v>24</v>
      </c>
      <c r="M3" s="36" t="s">
        <v>25</v>
      </c>
      <c r="N3" s="36" t="s">
        <v>26</v>
      </c>
      <c r="O3" s="36" t="s">
        <v>27</v>
      </c>
      <c r="P3" s="36" t="s">
        <v>28</v>
      </c>
      <c r="Q3" s="36" t="s">
        <v>29</v>
      </c>
      <c r="R3" s="36" t="s">
        <v>30</v>
      </c>
      <c r="S3" s="36" t="s">
        <v>31</v>
      </c>
      <c r="T3" s="36" t="s">
        <v>32</v>
      </c>
      <c r="U3" s="40" t="s">
        <v>24</v>
      </c>
      <c r="V3" s="40" t="s">
        <v>25</v>
      </c>
      <c r="W3" s="36" t="s">
        <v>26</v>
      </c>
      <c r="X3" s="36" t="s">
        <v>27</v>
      </c>
      <c r="Y3" s="36" t="s">
        <v>28</v>
      </c>
      <c r="Z3" s="36" t="s">
        <v>29</v>
      </c>
      <c r="AA3" s="40" t="s">
        <v>30</v>
      </c>
      <c r="AB3" s="40" t="s">
        <v>31</v>
      </c>
      <c r="AC3" s="40" t="s">
        <v>32</v>
      </c>
      <c r="AD3" s="40" t="s">
        <v>33</v>
      </c>
      <c r="AE3" s="40" t="s">
        <v>34</v>
      </c>
      <c r="AF3" s="40" t="s">
        <v>35</v>
      </c>
      <c r="AG3" s="43" t="s">
        <v>24</v>
      </c>
      <c r="AH3" s="43" t="s">
        <v>25</v>
      </c>
      <c r="AI3" s="43" t="s">
        <v>26</v>
      </c>
      <c r="AJ3" s="43" t="s">
        <v>27</v>
      </c>
      <c r="AK3" s="43" t="s">
        <v>28</v>
      </c>
      <c r="AL3" s="43" t="s">
        <v>29</v>
      </c>
      <c r="AM3" s="43" t="s">
        <v>30</v>
      </c>
      <c r="AN3" s="43" t="s">
        <v>31</v>
      </c>
      <c r="AO3" s="43" t="s">
        <v>32</v>
      </c>
      <c r="AP3" s="43" t="s">
        <v>33</v>
      </c>
      <c r="AQ3" s="43" t="s">
        <v>34</v>
      </c>
      <c r="AR3" s="43" t="s">
        <v>35</v>
      </c>
      <c r="AS3" s="12"/>
    </row>
    <row r="4" hidden="1">
      <c r="A4" s="47"/>
      <c r="B4" s="48" t="s">
        <v>37</v>
      </c>
      <c r="C4" s="49"/>
      <c r="D4" s="49" t="s">
        <v>38</v>
      </c>
      <c r="E4" s="49" t="s">
        <v>39</v>
      </c>
      <c r="F4" s="50">
        <v>0.0</v>
      </c>
      <c r="G4" s="51">
        <f>F4*13.5</f>
        <v>0</v>
      </c>
      <c r="H4" s="52">
        <v>1.0</v>
      </c>
      <c r="I4" s="49">
        <f>G4*H4</f>
        <v>0</v>
      </c>
      <c r="J4" s="53"/>
      <c r="K4" s="54"/>
      <c r="L4" s="47"/>
      <c r="M4" s="47"/>
      <c r="N4" s="47"/>
      <c r="O4" s="55"/>
      <c r="P4" s="55"/>
      <c r="Q4" s="55"/>
      <c r="R4" s="55"/>
      <c r="S4" s="55"/>
      <c r="T4" s="55"/>
      <c r="U4" s="55"/>
      <c r="V4" s="55"/>
      <c r="W4" s="56">
        <f>I4*30%</f>
        <v>0</v>
      </c>
      <c r="X4" s="56">
        <f>I4*70%</f>
        <v>0</v>
      </c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</row>
    <row r="5" hidden="1">
      <c r="A5" s="47"/>
      <c r="B5" s="48"/>
      <c r="C5" s="49"/>
      <c r="D5" s="49"/>
      <c r="E5" s="49"/>
      <c r="F5" s="60">
        <v>0.0</v>
      </c>
      <c r="G5" s="51"/>
      <c r="H5" s="52"/>
      <c r="I5" s="49"/>
      <c r="J5" s="53"/>
      <c r="K5" s="63"/>
      <c r="L5" s="47"/>
      <c r="M5" s="47"/>
      <c r="N5" s="47"/>
      <c r="O5" s="55"/>
      <c r="P5" s="55"/>
      <c r="Q5" s="55"/>
      <c r="R5" s="55"/>
      <c r="S5" s="55"/>
      <c r="T5" s="55"/>
      <c r="U5" s="55"/>
      <c r="V5" s="55"/>
      <c r="W5" s="65"/>
      <c r="X5" s="65">
        <f>6*H4</f>
        <v>6</v>
      </c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</row>
    <row r="6" hidden="1">
      <c r="A6" s="16"/>
      <c r="B6" s="71" t="s">
        <v>42</v>
      </c>
      <c r="C6" s="73"/>
      <c r="D6" s="73" t="s">
        <v>43</v>
      </c>
      <c r="E6" s="73" t="s">
        <v>44</v>
      </c>
      <c r="F6" s="75">
        <v>0.0</v>
      </c>
      <c r="G6" s="77">
        <f>F6*30</f>
        <v>0</v>
      </c>
      <c r="H6" s="79">
        <v>1.0</v>
      </c>
      <c r="I6" s="73">
        <f>G6*H6</f>
        <v>0</v>
      </c>
      <c r="J6" s="81"/>
      <c r="K6" s="83"/>
      <c r="L6" s="16"/>
      <c r="M6" s="16"/>
      <c r="N6" s="16"/>
      <c r="O6" s="12"/>
      <c r="P6" s="12"/>
      <c r="Q6" s="12"/>
      <c r="R6" s="12"/>
      <c r="S6" s="12"/>
      <c r="T6" s="12"/>
      <c r="U6" s="12"/>
      <c r="V6" s="12"/>
      <c r="W6" s="12"/>
      <c r="X6" s="90">
        <f>I6/5</f>
        <v>0</v>
      </c>
      <c r="Y6" s="90">
        <f t="shared" ref="Y6:AB6" si="1">X6</f>
        <v>0</v>
      </c>
      <c r="Z6" s="90">
        <f t="shared" si="1"/>
        <v>0</v>
      </c>
      <c r="AA6" s="90">
        <f t="shared" si="1"/>
        <v>0</v>
      </c>
      <c r="AB6" s="90">
        <f t="shared" si="1"/>
        <v>0</v>
      </c>
      <c r="AC6" s="16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</row>
    <row r="7" hidden="1">
      <c r="A7" s="16"/>
      <c r="B7" s="71"/>
      <c r="C7" s="73"/>
      <c r="D7" s="73"/>
      <c r="E7" s="73"/>
      <c r="F7" s="75">
        <v>0.0</v>
      </c>
      <c r="G7" s="77"/>
      <c r="H7" s="79"/>
      <c r="I7" s="73"/>
      <c r="J7" s="81"/>
      <c r="K7" s="83"/>
      <c r="L7" s="16"/>
      <c r="M7" s="16"/>
      <c r="N7" s="16"/>
      <c r="O7" s="12"/>
      <c r="P7" s="12"/>
      <c r="Q7" s="12"/>
      <c r="R7" s="12"/>
      <c r="S7" s="12"/>
      <c r="T7" s="12"/>
      <c r="U7" s="12"/>
      <c r="V7" s="12"/>
      <c r="W7" s="12"/>
      <c r="X7" s="100"/>
      <c r="Y7" s="100"/>
      <c r="Z7" s="100"/>
      <c r="AA7" s="100"/>
      <c r="AB7" s="100"/>
      <c r="AC7" s="16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hidden="1">
      <c r="A8" s="101"/>
      <c r="B8" s="48" t="s">
        <v>42</v>
      </c>
      <c r="C8" s="49"/>
      <c r="D8" s="49" t="s">
        <v>51</v>
      </c>
      <c r="E8" s="49" t="s">
        <v>52</v>
      </c>
      <c r="F8" s="50">
        <v>0.0</v>
      </c>
      <c r="G8" s="51">
        <f>F8*2.5</f>
        <v>0</v>
      </c>
      <c r="H8" s="52">
        <v>0.75</v>
      </c>
      <c r="I8" s="49">
        <f>G8*H8</f>
        <v>0</v>
      </c>
      <c r="J8" s="53"/>
      <c r="K8" s="63"/>
      <c r="L8" s="102"/>
      <c r="M8" s="102"/>
      <c r="N8" s="102"/>
      <c r="O8" s="55"/>
      <c r="P8" s="55"/>
      <c r="Q8" s="55"/>
      <c r="R8" s="55"/>
      <c r="S8" s="55"/>
      <c r="T8" s="55"/>
      <c r="U8" s="55"/>
      <c r="V8" s="55"/>
      <c r="X8" s="56">
        <f>I8</f>
        <v>0</v>
      </c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</row>
    <row r="9" hidden="1">
      <c r="A9" s="101"/>
      <c r="B9" s="48"/>
      <c r="C9" s="49"/>
      <c r="D9" s="49"/>
      <c r="E9" s="49"/>
      <c r="F9" s="50">
        <v>0.0</v>
      </c>
      <c r="G9" s="51"/>
      <c r="H9" s="52"/>
      <c r="I9" s="49"/>
      <c r="J9" s="53"/>
      <c r="K9" s="63"/>
      <c r="L9" s="102"/>
      <c r="M9" s="102"/>
      <c r="N9" s="102"/>
      <c r="O9" s="55"/>
      <c r="P9" s="55"/>
      <c r="Q9" s="55"/>
      <c r="R9" s="55"/>
      <c r="S9" s="55"/>
      <c r="T9" s="55"/>
      <c r="U9" s="55"/>
      <c r="V9" s="55"/>
      <c r="X9" s="65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</row>
    <row r="10" hidden="1">
      <c r="A10" s="16"/>
      <c r="B10" s="103" t="s">
        <v>42</v>
      </c>
      <c r="C10" s="104"/>
      <c r="D10" s="104" t="s">
        <v>53</v>
      </c>
      <c r="E10" s="104" t="s">
        <v>54</v>
      </c>
      <c r="F10" s="60">
        <v>0.0</v>
      </c>
      <c r="G10" s="105">
        <f>F10*44</f>
        <v>0</v>
      </c>
      <c r="H10" s="106">
        <v>1.0</v>
      </c>
      <c r="I10" s="104">
        <f>G10*H10</f>
        <v>0</v>
      </c>
      <c r="J10" s="107" t="s">
        <v>55</v>
      </c>
      <c r="K10" s="11"/>
      <c r="L10" s="16"/>
      <c r="M10" s="16"/>
      <c r="N10" s="16"/>
      <c r="O10" s="12"/>
      <c r="P10" s="12"/>
      <c r="Q10" s="12"/>
      <c r="R10" s="12"/>
      <c r="S10" s="12"/>
      <c r="T10" s="12"/>
      <c r="U10" s="12"/>
      <c r="V10" s="12"/>
      <c r="W10" s="12"/>
      <c r="X10" s="32">
        <f>I10*20%</f>
        <v>0</v>
      </c>
      <c r="Y10" s="32">
        <f>I10*15%</f>
        <v>0</v>
      </c>
      <c r="Z10" s="32">
        <f>I10*15%</f>
        <v>0</v>
      </c>
      <c r="AA10" s="32">
        <f>I10*15%</f>
        <v>0</v>
      </c>
      <c r="AB10" s="32">
        <f>I10*25%</f>
        <v>0</v>
      </c>
      <c r="AC10" s="32">
        <f>I10*5%</f>
        <v>0</v>
      </c>
      <c r="AD10" s="32">
        <f>I10*5%</f>
        <v>0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hidden="1">
      <c r="A11" s="16"/>
      <c r="B11" s="103"/>
      <c r="C11" s="104"/>
      <c r="D11" s="104"/>
      <c r="E11" s="104"/>
      <c r="F11" s="108">
        <v>0.0</v>
      </c>
      <c r="G11" s="105"/>
      <c r="H11" s="106"/>
      <c r="I11" s="104"/>
      <c r="J11" s="107"/>
      <c r="K11" s="11"/>
      <c r="L11" s="16"/>
      <c r="M11" s="16"/>
      <c r="N11" s="16"/>
      <c r="O11" s="12"/>
      <c r="P11" s="12"/>
      <c r="Q11" s="12"/>
      <c r="R11" s="12"/>
      <c r="S11" s="12"/>
      <c r="T11" s="12"/>
      <c r="U11" s="12"/>
      <c r="V11" s="12"/>
      <c r="W11" s="12"/>
      <c r="X11" s="113">
        <f>F10*H10*1.1</f>
        <v>0</v>
      </c>
      <c r="Y11" s="113">
        <f>F10*H10*5.4</f>
        <v>0</v>
      </c>
      <c r="Z11" s="113">
        <f>F10*H10*6.5</f>
        <v>0</v>
      </c>
      <c r="AA11" s="113">
        <f>F10*H10*12.5</f>
        <v>0</v>
      </c>
      <c r="AB11" s="113">
        <f>F10*H10*2.6</f>
        <v>0</v>
      </c>
      <c r="AC11" s="113"/>
      <c r="AD11" s="100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hidden="1">
      <c r="A12" s="16"/>
      <c r="B12" s="103" t="s">
        <v>42</v>
      </c>
      <c r="C12" s="104"/>
      <c r="D12" s="104" t="s">
        <v>71</v>
      </c>
      <c r="E12" s="104" t="s">
        <v>72</v>
      </c>
      <c r="F12" s="60">
        <v>0.0</v>
      </c>
      <c r="G12" s="105">
        <f>F12*6.5</f>
        <v>0</v>
      </c>
      <c r="H12" s="106">
        <v>1.0</v>
      </c>
      <c r="I12" s="104">
        <f>G12*H12</f>
        <v>0</v>
      </c>
      <c r="J12" s="107" t="s">
        <v>55</v>
      </c>
      <c r="K12" s="120" t="s">
        <v>75</v>
      </c>
      <c r="L12" s="11"/>
      <c r="M12" s="11"/>
      <c r="N12" s="11"/>
      <c r="O12" s="12"/>
      <c r="P12" s="12"/>
      <c r="Q12" s="12"/>
      <c r="R12" s="12"/>
      <c r="S12" s="12"/>
      <c r="T12" s="12"/>
      <c r="U12" s="121"/>
      <c r="V12" s="12"/>
      <c r="W12" s="12"/>
      <c r="X12" s="32">
        <f>I12</f>
        <v>0</v>
      </c>
      <c r="AF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hidden="1">
      <c r="A13" s="16"/>
      <c r="B13" s="103"/>
      <c r="C13" s="104"/>
      <c r="D13" s="104"/>
      <c r="E13" s="104"/>
      <c r="F13" s="108">
        <v>0.0</v>
      </c>
      <c r="G13" s="105"/>
      <c r="H13" s="106"/>
      <c r="I13" s="104"/>
      <c r="J13" s="107"/>
      <c r="K13" s="123"/>
      <c r="L13" s="11"/>
      <c r="M13" s="11"/>
      <c r="N13" s="11"/>
      <c r="O13" s="12"/>
      <c r="P13" s="12"/>
      <c r="Q13" s="12"/>
      <c r="R13" s="12"/>
      <c r="S13" s="12"/>
      <c r="T13" s="12"/>
      <c r="U13" s="121"/>
      <c r="V13" s="12"/>
      <c r="W13" s="12"/>
      <c r="X13" s="125">
        <f>X12*0.5</f>
        <v>0</v>
      </c>
      <c r="AF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hidden="1">
      <c r="A14" s="16"/>
      <c r="B14" s="103" t="s">
        <v>77</v>
      </c>
      <c r="C14" s="104"/>
      <c r="D14" s="104" t="s">
        <v>78</v>
      </c>
      <c r="E14" s="104" t="s">
        <v>79</v>
      </c>
      <c r="F14" s="60">
        <v>0.0</v>
      </c>
      <c r="G14" s="105">
        <f>F14*10</f>
        <v>0</v>
      </c>
      <c r="H14" s="106">
        <v>1.0</v>
      </c>
      <c r="I14" s="104">
        <f>G14*H14</f>
        <v>0</v>
      </c>
      <c r="J14" s="107" t="s">
        <v>80</v>
      </c>
      <c r="K14" s="11"/>
      <c r="L14" s="16"/>
      <c r="M14" s="16"/>
      <c r="N14" s="16"/>
      <c r="O14" s="12"/>
      <c r="P14" s="12"/>
      <c r="Q14" s="12"/>
      <c r="R14" s="12"/>
      <c r="S14" s="12"/>
      <c r="T14" s="12"/>
      <c r="U14" s="12"/>
      <c r="V14" s="129"/>
      <c r="W14" s="129"/>
      <c r="Y14" s="32">
        <f>I14</f>
        <v>0</v>
      </c>
      <c r="AA14" s="129"/>
      <c r="AB14" s="129"/>
      <c r="AC14" s="129"/>
      <c r="AD14" s="129"/>
      <c r="AE14" s="129"/>
      <c r="AF14" s="129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hidden="1">
      <c r="A15" s="16"/>
      <c r="B15" s="103"/>
      <c r="C15" s="104"/>
      <c r="D15" s="104"/>
      <c r="E15" s="104"/>
      <c r="F15" s="75">
        <v>0.0</v>
      </c>
      <c r="G15" s="105"/>
      <c r="H15" s="106"/>
      <c r="I15" s="104"/>
      <c r="J15" s="107"/>
      <c r="K15" s="11"/>
      <c r="L15" s="16"/>
      <c r="M15" s="16"/>
      <c r="N15" s="16"/>
      <c r="O15" s="12"/>
      <c r="P15" s="12"/>
      <c r="Q15" s="12"/>
      <c r="R15" s="12"/>
      <c r="S15" s="12"/>
      <c r="T15" s="12"/>
      <c r="U15" s="12"/>
      <c r="V15" s="129"/>
      <c r="W15" s="129"/>
      <c r="Y15" s="125">
        <f>Y14*0.5</f>
        <v>0</v>
      </c>
      <c r="AA15" s="129"/>
      <c r="AB15" s="129"/>
      <c r="AC15" s="129"/>
      <c r="AD15" s="129"/>
      <c r="AE15" s="129"/>
      <c r="AF15" s="129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hidden="1">
      <c r="A16" s="101"/>
      <c r="B16" s="142" t="s">
        <v>91</v>
      </c>
      <c r="C16" s="143"/>
      <c r="D16" s="143" t="s">
        <v>92</v>
      </c>
      <c r="E16" s="143" t="s">
        <v>93</v>
      </c>
      <c r="F16" s="144">
        <v>0.0</v>
      </c>
      <c r="G16" s="145">
        <f>F16*3</f>
        <v>0</v>
      </c>
      <c r="H16" s="146">
        <v>0.7</v>
      </c>
      <c r="I16" s="149">
        <f>G16*H16</f>
        <v>0</v>
      </c>
      <c r="J16" s="150"/>
      <c r="K16" s="63"/>
      <c r="L16" s="102"/>
      <c r="M16" s="102"/>
      <c r="N16" s="102"/>
      <c r="O16" s="55"/>
      <c r="P16" s="55"/>
      <c r="Q16" s="55"/>
      <c r="R16" s="55"/>
      <c r="S16" s="55"/>
      <c r="T16" s="55"/>
      <c r="U16" s="55"/>
      <c r="V16" s="55"/>
      <c r="W16" s="55"/>
      <c r="X16" s="56">
        <f>I16</f>
        <v>0</v>
      </c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</row>
    <row r="17" hidden="1">
      <c r="A17" s="101"/>
      <c r="B17" s="142"/>
      <c r="C17" s="143"/>
      <c r="D17" s="143"/>
      <c r="E17" s="143"/>
      <c r="F17" s="155">
        <v>0.0</v>
      </c>
      <c r="G17" s="145"/>
      <c r="H17" s="146"/>
      <c r="I17" s="143"/>
      <c r="J17" s="150"/>
      <c r="K17" s="63"/>
      <c r="L17" s="102"/>
      <c r="M17" s="102"/>
      <c r="N17" s="102"/>
      <c r="O17" s="55"/>
      <c r="P17" s="55"/>
      <c r="Q17" s="55"/>
      <c r="R17" s="55"/>
      <c r="S17" s="55"/>
      <c r="T17" s="55"/>
      <c r="U17" s="55"/>
      <c r="V17" s="55"/>
      <c r="W17" s="55"/>
      <c r="X17" s="65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</row>
    <row r="18" hidden="1">
      <c r="A18" s="16"/>
      <c r="B18" s="103" t="s">
        <v>77</v>
      </c>
      <c r="C18" s="104"/>
      <c r="D18" s="104" t="s">
        <v>98</v>
      </c>
      <c r="E18" s="104" t="s">
        <v>100</v>
      </c>
      <c r="F18" s="60">
        <v>0.0</v>
      </c>
      <c r="G18" s="105">
        <f>F18*8</f>
        <v>0</v>
      </c>
      <c r="H18" s="106">
        <v>1.0</v>
      </c>
      <c r="I18" s="104">
        <f>G18*H18</f>
        <v>0</v>
      </c>
      <c r="J18" s="107" t="s">
        <v>55</v>
      </c>
      <c r="K18" s="11"/>
      <c r="L18" s="16"/>
      <c r="M18" s="16"/>
      <c r="N18" s="16"/>
      <c r="O18" s="12"/>
      <c r="P18" s="12"/>
      <c r="Q18" s="12"/>
      <c r="R18" s="12"/>
      <c r="S18" s="12"/>
      <c r="T18" s="12"/>
      <c r="U18" s="12"/>
      <c r="V18" s="129"/>
      <c r="W18" s="129"/>
      <c r="X18" s="129"/>
      <c r="Z18" s="32">
        <f>I18</f>
        <v>0</v>
      </c>
      <c r="AA18" s="129"/>
      <c r="AB18" s="129"/>
      <c r="AC18" s="129"/>
      <c r="AD18" s="129"/>
      <c r="AE18" s="129"/>
      <c r="AF18" s="129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hidden="1">
      <c r="A19" s="16"/>
      <c r="B19" s="103"/>
      <c r="C19" s="104"/>
      <c r="D19" s="104"/>
      <c r="E19" s="104"/>
      <c r="F19" s="75">
        <v>0.0</v>
      </c>
      <c r="G19" s="105"/>
      <c r="H19" s="106"/>
      <c r="I19" s="104"/>
      <c r="J19" s="107"/>
      <c r="K19" s="11"/>
      <c r="L19" s="16"/>
      <c r="M19" s="16"/>
      <c r="N19" s="16"/>
      <c r="O19" s="12"/>
      <c r="P19" s="12"/>
      <c r="Q19" s="12"/>
      <c r="R19" s="12"/>
      <c r="S19" s="12"/>
      <c r="T19" s="12"/>
      <c r="U19" s="12"/>
      <c r="V19" s="129"/>
      <c r="W19" s="129"/>
      <c r="X19" s="129"/>
      <c r="Z19" s="168"/>
      <c r="AA19" s="129"/>
      <c r="AB19" s="129"/>
      <c r="AC19" s="129"/>
      <c r="AD19" s="129"/>
      <c r="AE19" s="129"/>
      <c r="AF19" s="129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hidden="1">
      <c r="A20" s="16"/>
      <c r="B20" s="169" t="s">
        <v>103</v>
      </c>
      <c r="C20" s="170"/>
      <c r="D20" s="170" t="s">
        <v>105</v>
      </c>
      <c r="E20" s="170" t="s">
        <v>106</v>
      </c>
      <c r="F20" s="171">
        <v>0.0</v>
      </c>
      <c r="G20" s="172">
        <f>F20*31</f>
        <v>0</v>
      </c>
      <c r="H20" s="173">
        <v>0.9</v>
      </c>
      <c r="I20" s="170">
        <f>G20*H20</f>
        <v>0</v>
      </c>
      <c r="J20" s="174" t="s">
        <v>55</v>
      </c>
      <c r="K20" s="102" t="s">
        <v>108</v>
      </c>
      <c r="L20" s="16"/>
      <c r="M20" s="16"/>
      <c r="N20" s="16"/>
      <c r="O20" s="12"/>
      <c r="P20" s="12"/>
      <c r="Q20" s="12"/>
      <c r="R20" s="12"/>
      <c r="S20" s="12"/>
      <c r="T20" s="12"/>
      <c r="U20" s="12"/>
      <c r="V20" s="129"/>
      <c r="W20" s="129"/>
      <c r="X20" s="129"/>
      <c r="Y20" s="129"/>
      <c r="AA20" s="175">
        <f>I20*25%</f>
        <v>0</v>
      </c>
      <c r="AB20" s="175">
        <f>I20*20%</f>
        <v>0</v>
      </c>
      <c r="AC20" s="175">
        <f>I20*50%</f>
        <v>0</v>
      </c>
      <c r="AD20" s="175">
        <f>I20*5%</f>
        <v>0</v>
      </c>
      <c r="AE20" s="175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hidden="1">
      <c r="A21" s="16"/>
      <c r="B21" s="169"/>
      <c r="C21" s="170"/>
      <c r="D21" s="170"/>
      <c r="E21" s="170"/>
      <c r="F21" s="178">
        <v>0.0</v>
      </c>
      <c r="G21" s="172"/>
      <c r="H21" s="173"/>
      <c r="I21" s="170"/>
      <c r="J21" s="174"/>
      <c r="K21" s="11"/>
      <c r="L21" s="16"/>
      <c r="M21" s="16"/>
      <c r="N21" s="16"/>
      <c r="O21" s="12"/>
      <c r="P21" s="12"/>
      <c r="Q21" s="12"/>
      <c r="R21" s="12"/>
      <c r="S21" s="12"/>
      <c r="T21" s="12"/>
      <c r="U21" s="12"/>
      <c r="V21" s="129"/>
      <c r="W21" s="129"/>
      <c r="X21" s="129"/>
      <c r="Y21" s="129"/>
      <c r="AA21" s="179"/>
      <c r="AB21" s="179"/>
      <c r="AC21" s="180">
        <f>12.6*H20</f>
        <v>11.34</v>
      </c>
      <c r="AD21" s="180"/>
      <c r="AE21" s="181">
        <f>H20*13.5</f>
        <v>12.15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hidden="1">
      <c r="A22" s="16"/>
      <c r="B22" s="169" t="s">
        <v>103</v>
      </c>
      <c r="C22" s="170"/>
      <c r="D22" s="170" t="s">
        <v>71</v>
      </c>
      <c r="E22" s="170" t="s">
        <v>112</v>
      </c>
      <c r="F22" s="171">
        <v>0.0</v>
      </c>
      <c r="G22" s="172">
        <f>F22*77</f>
        <v>0</v>
      </c>
      <c r="H22" s="173">
        <v>0.9</v>
      </c>
      <c r="I22" s="170">
        <f>G22*H22</f>
        <v>0</v>
      </c>
      <c r="J22" s="174" t="s">
        <v>55</v>
      </c>
      <c r="K22" s="123"/>
      <c r="L22" s="11"/>
      <c r="M22" s="11"/>
      <c r="N22" s="11"/>
      <c r="O22" s="12"/>
      <c r="P22" s="12"/>
      <c r="Q22" s="12"/>
      <c r="R22" s="12"/>
      <c r="S22" s="12"/>
      <c r="T22" s="12"/>
      <c r="U22" s="121"/>
      <c r="V22" s="12"/>
      <c r="W22" s="12"/>
      <c r="AA22" s="32">
        <f>I22*10%</f>
        <v>0</v>
      </c>
      <c r="AB22" s="32">
        <f>I22*10%</f>
        <v>0</v>
      </c>
      <c r="AC22" s="90">
        <f>I22*10%</f>
        <v>0</v>
      </c>
      <c r="AD22" s="90">
        <f>I22*15%</f>
        <v>0</v>
      </c>
      <c r="AE22" s="90">
        <f>I22*55%</f>
        <v>0</v>
      </c>
      <c r="AF22" s="90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hidden="1">
      <c r="A23" s="16"/>
      <c r="B23" s="169"/>
      <c r="C23" s="170"/>
      <c r="D23" s="170"/>
      <c r="E23" s="170"/>
      <c r="F23" s="178">
        <v>0.0</v>
      </c>
      <c r="G23" s="172"/>
      <c r="H23" s="173"/>
      <c r="I23" s="170"/>
      <c r="J23" s="174"/>
      <c r="K23" s="11"/>
      <c r="L23" s="11"/>
      <c r="M23" s="11"/>
      <c r="N23" s="11"/>
      <c r="O23" s="12"/>
      <c r="P23" s="12"/>
      <c r="Q23" s="12"/>
      <c r="R23" s="12"/>
      <c r="S23" s="12"/>
      <c r="T23" s="12"/>
      <c r="U23" s="12"/>
      <c r="V23" s="12"/>
      <c r="W23" s="12"/>
      <c r="AA23" s="168"/>
      <c r="AB23" s="168">
        <f>F22*H22*3.4</f>
        <v>0</v>
      </c>
      <c r="AC23" s="168"/>
      <c r="AD23" s="168">
        <f>F22*H22*13</f>
        <v>0</v>
      </c>
      <c r="AE23" s="168">
        <f>F22*H22*13</f>
        <v>0</v>
      </c>
      <c r="AF23" s="168">
        <f>F22*H22*12</f>
        <v>0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hidden="1">
      <c r="A24" s="16"/>
      <c r="B24" s="103" t="s">
        <v>103</v>
      </c>
      <c r="C24" s="104"/>
      <c r="D24" s="104" t="s">
        <v>71</v>
      </c>
      <c r="E24" s="104" t="s">
        <v>119</v>
      </c>
      <c r="F24" s="60">
        <v>0.0</v>
      </c>
      <c r="G24" s="105">
        <f>F24*72</f>
        <v>0</v>
      </c>
      <c r="H24" s="106">
        <v>0.7</v>
      </c>
      <c r="I24" s="104">
        <f>G24*H24</f>
        <v>0</v>
      </c>
      <c r="J24" s="107" t="s">
        <v>55</v>
      </c>
      <c r="K24" s="193"/>
      <c r="L24" s="16"/>
      <c r="M24" s="12"/>
      <c r="N24" s="16"/>
      <c r="O24" s="12"/>
      <c r="P24" s="12"/>
      <c r="Q24" s="12"/>
      <c r="R24" s="12"/>
      <c r="S24" s="12"/>
      <c r="T24" s="12"/>
      <c r="U24" s="12"/>
      <c r="V24" s="12"/>
      <c r="W24" s="12"/>
      <c r="AA24" s="32">
        <f>I24*10%</f>
        <v>0</v>
      </c>
      <c r="AB24" s="32">
        <f>I24*15%</f>
        <v>0</v>
      </c>
      <c r="AC24" s="90">
        <f>I24*20%</f>
        <v>0</v>
      </c>
      <c r="AD24" s="90"/>
      <c r="AE24" s="90">
        <f>I24*20%</f>
        <v>0</v>
      </c>
      <c r="AF24" s="90">
        <f>I24*35%</f>
        <v>0</v>
      </c>
      <c r="AG24" s="90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hidden="1">
      <c r="A25" s="16"/>
      <c r="B25" s="103"/>
      <c r="C25" s="104"/>
      <c r="D25" s="104"/>
      <c r="E25" s="104"/>
      <c r="F25" s="75">
        <v>0.0</v>
      </c>
      <c r="G25" s="105"/>
      <c r="H25" s="106"/>
      <c r="I25" s="104"/>
      <c r="J25" s="194"/>
      <c r="K25" s="37"/>
      <c r="L25" s="16"/>
      <c r="M25" s="12"/>
      <c r="N25" s="16"/>
      <c r="O25" s="12"/>
      <c r="P25" s="12"/>
      <c r="Q25" s="12"/>
      <c r="R25" s="12"/>
      <c r="S25" s="12"/>
      <c r="T25" s="12"/>
      <c r="U25" s="12"/>
      <c r="V25" s="12"/>
      <c r="W25" s="12"/>
      <c r="AA25" s="168">
        <f>F24*H24*0.9</f>
        <v>0</v>
      </c>
      <c r="AB25" s="168">
        <f>F24*H24*1</f>
        <v>0</v>
      </c>
      <c r="AC25" s="168"/>
      <c r="AD25" s="168">
        <f>F24*H24*4</f>
        <v>0</v>
      </c>
      <c r="AE25" s="168">
        <f>F24*H24*23.5</f>
        <v>0</v>
      </c>
      <c r="AF25" s="168">
        <f>F24*H24*17</f>
        <v>0</v>
      </c>
      <c r="AG25" s="168">
        <f>F24*H24*5.3</f>
        <v>0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>
      <c r="A26" s="197"/>
      <c r="B26" s="198" t="s">
        <v>120</v>
      </c>
      <c r="C26" s="199"/>
      <c r="D26" s="199"/>
      <c r="E26" s="199"/>
      <c r="F26" s="200">
        <v>1.0</v>
      </c>
      <c r="G26" s="199"/>
      <c r="H26" s="199"/>
      <c r="I26" s="199"/>
      <c r="J26" s="201"/>
      <c r="K26" s="197"/>
      <c r="L26" s="197"/>
      <c r="M26" s="197"/>
      <c r="N26" s="197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K26" s="202"/>
      <c r="AL26" s="202"/>
      <c r="AM26" s="12"/>
      <c r="AN26" s="12"/>
      <c r="AO26" s="12"/>
      <c r="AP26" s="12"/>
      <c r="AQ26" s="12"/>
      <c r="AR26" s="12"/>
      <c r="AS26" s="12"/>
    </row>
    <row r="27" hidden="1">
      <c r="A27" s="16"/>
      <c r="B27" s="169" t="s">
        <v>121</v>
      </c>
      <c r="C27" s="170"/>
      <c r="D27" s="170" t="s">
        <v>43</v>
      </c>
      <c r="E27" s="170" t="s">
        <v>44</v>
      </c>
      <c r="F27" s="203">
        <v>0.0</v>
      </c>
      <c r="G27" s="205">
        <f>F27*230</f>
        <v>0</v>
      </c>
      <c r="H27" s="173">
        <v>0.9</v>
      </c>
      <c r="I27" s="207">
        <f>G27*H27</f>
        <v>0</v>
      </c>
      <c r="J27" s="174" t="s">
        <v>55</v>
      </c>
      <c r="K27" s="11"/>
      <c r="L27" s="16"/>
      <c r="M27" s="16"/>
      <c r="N27" s="16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C27" s="175">
        <f>I27/24</f>
        <v>0</v>
      </c>
      <c r="AD27" s="175">
        <f t="shared" ref="AD27:AL27" si="2">AC27</f>
        <v>0</v>
      </c>
      <c r="AE27" s="175">
        <f t="shared" si="2"/>
        <v>0</v>
      </c>
      <c r="AF27" s="175">
        <f t="shared" si="2"/>
        <v>0</v>
      </c>
      <c r="AG27" s="175">
        <f t="shared" si="2"/>
        <v>0</v>
      </c>
      <c r="AH27" s="175">
        <f t="shared" si="2"/>
        <v>0</v>
      </c>
      <c r="AI27" s="175">
        <f t="shared" si="2"/>
        <v>0</v>
      </c>
      <c r="AJ27" s="175">
        <f t="shared" si="2"/>
        <v>0</v>
      </c>
      <c r="AK27" s="175">
        <f t="shared" si="2"/>
        <v>0</v>
      </c>
      <c r="AL27" s="175">
        <f t="shared" si="2"/>
        <v>0</v>
      </c>
      <c r="AM27" s="12"/>
      <c r="AN27" s="12"/>
      <c r="AO27" s="12"/>
      <c r="AP27" s="12"/>
      <c r="AQ27" s="12"/>
      <c r="AR27" s="12"/>
      <c r="AS27" s="12"/>
    </row>
    <row r="28" hidden="1">
      <c r="A28" s="16"/>
      <c r="B28" s="169"/>
      <c r="C28" s="170"/>
      <c r="D28" s="170"/>
      <c r="E28" s="170"/>
      <c r="F28" s="178">
        <v>0.0</v>
      </c>
      <c r="G28" s="205"/>
      <c r="H28" s="173"/>
      <c r="I28" s="207"/>
      <c r="J28" s="174"/>
      <c r="K28" s="11"/>
      <c r="L28" s="16"/>
      <c r="M28" s="16"/>
      <c r="N28" s="16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C28" s="209"/>
      <c r="AD28" s="100"/>
      <c r="AE28" s="100"/>
      <c r="AF28" s="100"/>
      <c r="AG28" s="100"/>
      <c r="AH28" s="100"/>
      <c r="AI28" s="100"/>
      <c r="AJ28" s="100"/>
      <c r="AK28" s="100"/>
      <c r="AL28" s="100"/>
      <c r="AM28" s="12"/>
      <c r="AN28" s="12"/>
      <c r="AO28" s="12"/>
      <c r="AP28" s="12"/>
      <c r="AQ28" s="12"/>
      <c r="AR28" s="12"/>
      <c r="AS28" s="12"/>
    </row>
    <row r="29" hidden="1">
      <c r="A29" s="16"/>
      <c r="B29" s="210" t="s">
        <v>103</v>
      </c>
      <c r="C29" s="170"/>
      <c r="D29" s="170" t="s">
        <v>123</v>
      </c>
      <c r="E29" s="170" t="s">
        <v>124</v>
      </c>
      <c r="F29" s="203">
        <v>0.0</v>
      </c>
      <c r="G29" s="172">
        <f>F29*22</f>
        <v>0</v>
      </c>
      <c r="H29" s="173">
        <v>0.5</v>
      </c>
      <c r="I29" s="170">
        <f>G29*H29</f>
        <v>0</v>
      </c>
      <c r="J29" s="174" t="s">
        <v>55</v>
      </c>
      <c r="K29" s="11" t="s">
        <v>75</v>
      </c>
      <c r="L29" s="16"/>
      <c r="M29" s="16"/>
      <c r="N29" s="16"/>
      <c r="O29" s="12"/>
      <c r="P29" s="12"/>
      <c r="Q29" s="12"/>
      <c r="R29" s="12"/>
      <c r="S29" s="12"/>
      <c r="T29" s="12"/>
      <c r="U29" s="12"/>
      <c r="V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hidden="1">
      <c r="A30" s="16"/>
      <c r="B30" s="169"/>
      <c r="C30" s="170"/>
      <c r="D30" s="170"/>
      <c r="E30" s="170"/>
      <c r="F30" s="178">
        <v>0.0</v>
      </c>
      <c r="G30" s="172"/>
      <c r="H30" s="173"/>
      <c r="I30" s="170"/>
      <c r="J30" s="174"/>
      <c r="K30" s="11"/>
      <c r="L30" s="16"/>
      <c r="M30" s="16"/>
      <c r="N30" s="16"/>
      <c r="O30" s="12"/>
      <c r="P30" s="12"/>
      <c r="Q30" s="12"/>
      <c r="R30" s="12"/>
      <c r="S30" s="12"/>
      <c r="T30" s="12"/>
      <c r="U30" s="12"/>
      <c r="V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hidden="1">
      <c r="A31" s="16"/>
      <c r="B31" s="213" t="s">
        <v>127</v>
      </c>
      <c r="C31" s="170"/>
      <c r="D31" s="170" t="s">
        <v>128</v>
      </c>
      <c r="E31" s="170" t="s">
        <v>129</v>
      </c>
      <c r="F31" s="203">
        <f>AD2</f>
        <v>0</v>
      </c>
      <c r="G31" s="205">
        <f>F31*20</f>
        <v>0</v>
      </c>
      <c r="H31" s="173">
        <v>0.6</v>
      </c>
      <c r="I31" s="207">
        <f>G31*H31</f>
        <v>0</v>
      </c>
      <c r="J31" s="174" t="s">
        <v>15</v>
      </c>
      <c r="K31" s="11"/>
      <c r="L31" s="16"/>
      <c r="M31" s="16"/>
      <c r="N31" s="16"/>
      <c r="O31" s="12"/>
      <c r="P31" s="12"/>
      <c r="Q31" s="12"/>
      <c r="R31" s="12"/>
      <c r="S31" s="12"/>
      <c r="T31" s="12"/>
      <c r="U31" s="12"/>
      <c r="V31" s="12"/>
      <c r="AC31" s="215">
        <f>I31*25%</f>
        <v>0</v>
      </c>
      <c r="AD31" s="215">
        <f>I31*20%</f>
        <v>0</v>
      </c>
      <c r="AE31" s="215">
        <f>I31*50%</f>
        <v>0</v>
      </c>
      <c r="AF31" s="215">
        <f>I31*5%</f>
        <v>0</v>
      </c>
      <c r="AG31" s="215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hidden="1">
      <c r="A32" s="16"/>
      <c r="B32" s="169"/>
      <c r="C32" s="170"/>
      <c r="D32" s="170"/>
      <c r="E32" s="170"/>
      <c r="F32" s="216">
        <f>AD2</f>
        <v>0</v>
      </c>
      <c r="G32" s="205"/>
      <c r="H32" s="173"/>
      <c r="I32" s="207"/>
      <c r="J32" s="174"/>
      <c r="K32" s="11"/>
      <c r="L32" s="16"/>
      <c r="M32" s="16"/>
      <c r="N32" s="16"/>
      <c r="O32" s="12"/>
      <c r="P32" s="12"/>
      <c r="Q32" s="12"/>
      <c r="R32" s="12"/>
      <c r="S32" s="12"/>
      <c r="T32" s="12"/>
      <c r="U32" s="12"/>
      <c r="V32" s="12"/>
      <c r="AC32" s="217"/>
      <c r="AD32" s="217"/>
      <c r="AE32" s="218">
        <f>12.6*H31*F32</f>
        <v>0</v>
      </c>
      <c r="AF32" s="218"/>
      <c r="AG32" s="219">
        <f>H31*13.5*F32</f>
        <v>0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hidden="1">
      <c r="A33" s="47"/>
      <c r="B33" s="220" t="s">
        <v>131</v>
      </c>
      <c r="C33" s="221"/>
      <c r="D33" s="221" t="s">
        <v>132</v>
      </c>
      <c r="E33" s="221" t="s">
        <v>133</v>
      </c>
      <c r="F33" s="222">
        <v>0.0</v>
      </c>
      <c r="G33" s="223">
        <f>F33*180</f>
        <v>0</v>
      </c>
      <c r="H33" s="224">
        <v>0.5</v>
      </c>
      <c r="I33" s="225">
        <f>G33*H33</f>
        <v>0</v>
      </c>
      <c r="J33" s="226" t="s">
        <v>134</v>
      </c>
      <c r="K33" s="102" t="s">
        <v>135</v>
      </c>
      <c r="L33" s="47"/>
      <c r="M33" s="47"/>
      <c r="N33" s="47"/>
      <c r="O33" s="55"/>
      <c r="P33" s="55"/>
      <c r="Q33" s="55"/>
      <c r="R33" s="55"/>
      <c r="S33" s="55"/>
      <c r="T33" s="55"/>
      <c r="U33" s="55"/>
      <c r="V33" s="55"/>
      <c r="W33" s="55"/>
      <c r="X33" s="55"/>
      <c r="AD33" s="175"/>
      <c r="AE33" s="175"/>
      <c r="AF33" s="175">
        <f>I33*30%</f>
        <v>0</v>
      </c>
      <c r="AG33" s="175"/>
      <c r="AH33" s="175"/>
      <c r="AI33" s="175"/>
      <c r="AJ33" s="175">
        <f>I33*30%</f>
        <v>0</v>
      </c>
      <c r="AK33" s="175"/>
      <c r="AL33" s="175">
        <f>I33*40%</f>
        <v>0</v>
      </c>
      <c r="AM33" s="55"/>
      <c r="AN33" s="55"/>
      <c r="AO33" s="55"/>
      <c r="AP33" s="55"/>
      <c r="AQ33" s="55"/>
      <c r="AR33" s="55"/>
      <c r="AS33" s="55"/>
    </row>
    <row r="34" hidden="1">
      <c r="A34" s="47"/>
      <c r="B34" s="220"/>
      <c r="C34" s="221"/>
      <c r="D34" s="221"/>
      <c r="E34" s="221"/>
      <c r="F34" s="222">
        <v>0.0</v>
      </c>
      <c r="G34" s="223"/>
      <c r="H34" s="224"/>
      <c r="I34" s="225"/>
      <c r="J34" s="226"/>
      <c r="L34" s="47"/>
      <c r="M34" s="47"/>
      <c r="N34" s="47"/>
      <c r="O34" s="55"/>
      <c r="P34" s="55"/>
      <c r="Q34" s="55"/>
      <c r="R34" s="55"/>
      <c r="S34" s="55"/>
      <c r="T34" s="55"/>
      <c r="U34" s="55"/>
      <c r="V34" s="55"/>
      <c r="W34" s="55"/>
      <c r="X34" s="55"/>
      <c r="AD34" s="179">
        <f>F33*H33*1</f>
        <v>0</v>
      </c>
      <c r="AE34" s="179"/>
      <c r="AF34" s="179"/>
      <c r="AG34" s="179">
        <f>F33*H33*21</f>
        <v>0</v>
      </c>
      <c r="AH34" s="179"/>
      <c r="AI34" s="179">
        <f>F33*H33*45</f>
        <v>0</v>
      </c>
      <c r="AJ34" s="179">
        <f>F33*H33*27</f>
        <v>0</v>
      </c>
      <c r="AK34" s="179">
        <f>F33*H33*8</f>
        <v>0</v>
      </c>
      <c r="AL34" s="217"/>
      <c r="AM34" s="55"/>
      <c r="AN34" s="55"/>
      <c r="AO34" s="55"/>
      <c r="AP34" s="55"/>
      <c r="AQ34" s="55"/>
      <c r="AR34" s="55"/>
      <c r="AS34" s="55"/>
    </row>
    <row r="35" hidden="1">
      <c r="A35" s="16"/>
      <c r="B35" s="103" t="s">
        <v>131</v>
      </c>
      <c r="C35" s="104"/>
      <c r="D35" s="104" t="s">
        <v>136</v>
      </c>
      <c r="E35" s="104" t="s">
        <v>137</v>
      </c>
      <c r="F35" s="75">
        <v>0.0</v>
      </c>
      <c r="G35" s="227">
        <f>F35*100</f>
        <v>0</v>
      </c>
      <c r="H35" s="106">
        <v>0.5</v>
      </c>
      <c r="I35" s="228">
        <f>G35*H35</f>
        <v>0</v>
      </c>
      <c r="J35" s="107" t="s">
        <v>55</v>
      </c>
      <c r="K35" s="11" t="s">
        <v>138</v>
      </c>
      <c r="L35" s="16"/>
      <c r="M35" s="16"/>
      <c r="N35" s="16"/>
      <c r="O35" s="12"/>
      <c r="P35" s="12"/>
      <c r="Q35" s="12"/>
      <c r="R35" s="12"/>
      <c r="S35" s="12"/>
      <c r="T35" s="12"/>
      <c r="U35" s="12"/>
      <c r="V35" s="12"/>
      <c r="AC35" s="175">
        <f>I35*10%*65%</f>
        <v>0</v>
      </c>
      <c r="AD35" s="175">
        <f>I35*15%*65%</f>
        <v>0</v>
      </c>
      <c r="AE35" s="175">
        <f>I35*20%*65%+I35*70%*35%</f>
        <v>0</v>
      </c>
      <c r="AF35" s="175">
        <f>I35*25%*65%</f>
        <v>0</v>
      </c>
      <c r="AG35" s="175">
        <f>I35*25%*65%+I35*30%*35%</f>
        <v>0</v>
      </c>
      <c r="AH35" s="175">
        <f>I35*5%*65%</f>
        <v>0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hidden="1">
      <c r="A36" s="16"/>
      <c r="B36" s="103"/>
      <c r="C36" s="104"/>
      <c r="D36" s="104"/>
      <c r="E36" s="104"/>
      <c r="F36" s="75">
        <v>0.0</v>
      </c>
      <c r="G36" s="227"/>
      <c r="H36" s="106"/>
      <c r="I36" s="228"/>
      <c r="J36" s="107"/>
      <c r="K36" s="11"/>
      <c r="L36" s="16"/>
      <c r="M36" s="16"/>
      <c r="N36" s="16"/>
      <c r="O36" s="12"/>
      <c r="P36" s="12"/>
      <c r="Q36" s="12"/>
      <c r="R36" s="12"/>
      <c r="S36" s="12"/>
      <c r="T36" s="12"/>
      <c r="U36" s="12"/>
      <c r="V36" s="12"/>
      <c r="AC36" s="113">
        <f>F36*H35*0.8</f>
        <v>0</v>
      </c>
      <c r="AD36" s="113"/>
      <c r="AE36" s="113"/>
      <c r="AF36" s="113">
        <f>F36*H35*7.7</f>
        <v>0</v>
      </c>
      <c r="AG36" s="113">
        <f>F36*H35*30</f>
        <v>0</v>
      </c>
      <c r="AH36" s="113">
        <f>F36*H35*9</f>
        <v>0</v>
      </c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hidden="1">
      <c r="A37" s="16"/>
      <c r="B37" s="220" t="s">
        <v>134</v>
      </c>
      <c r="C37" s="221"/>
      <c r="D37" s="221" t="s">
        <v>157</v>
      </c>
      <c r="E37" s="221" t="s">
        <v>158</v>
      </c>
      <c r="F37" s="252">
        <v>0.0</v>
      </c>
      <c r="G37" s="223">
        <f>F37*32</f>
        <v>0</v>
      </c>
      <c r="H37" s="224">
        <v>0.6</v>
      </c>
      <c r="I37" s="225">
        <f>G37*H37</f>
        <v>0</v>
      </c>
      <c r="J37" s="226" t="s">
        <v>55</v>
      </c>
      <c r="K37" s="11"/>
      <c r="L37" s="16"/>
      <c r="M37" s="16"/>
      <c r="N37" s="16"/>
      <c r="O37" s="12"/>
      <c r="P37" s="12"/>
      <c r="Q37" s="12"/>
      <c r="R37" s="12"/>
      <c r="S37" s="12"/>
      <c r="T37" s="12"/>
      <c r="U37" s="12"/>
      <c r="V37" s="12"/>
      <c r="AC37" s="175">
        <f>I37*20%</f>
        <v>0</v>
      </c>
      <c r="AD37" s="175">
        <f>I37*10%</f>
        <v>0</v>
      </c>
      <c r="AE37" s="175">
        <f>I37*15%</f>
        <v>0</v>
      </c>
      <c r="AF37" s="175">
        <f>I37*15%</f>
        <v>0</v>
      </c>
      <c r="AG37" s="175">
        <f>I37*20%</f>
        <v>0</v>
      </c>
      <c r="AH37" s="175">
        <f>I37*20%</f>
        <v>0</v>
      </c>
      <c r="AI37" s="175"/>
      <c r="AJ37" s="12"/>
      <c r="AK37" s="12"/>
      <c r="AL37" s="12"/>
      <c r="AM37" s="12"/>
      <c r="AN37" s="12"/>
      <c r="AO37" s="12"/>
      <c r="AP37" s="12"/>
      <c r="AQ37" s="12"/>
      <c r="AR37" s="12"/>
      <c r="AS37" s="12"/>
    </row>
    <row r="38" hidden="1">
      <c r="A38" s="16"/>
      <c r="B38" s="220"/>
      <c r="C38" s="221"/>
      <c r="D38" s="221"/>
      <c r="E38" s="221"/>
      <c r="F38" s="252">
        <v>0.0</v>
      </c>
      <c r="G38" s="223"/>
      <c r="H38" s="224"/>
      <c r="I38" s="225"/>
      <c r="J38" s="226"/>
      <c r="K38" s="11"/>
      <c r="L38" s="16"/>
      <c r="M38" s="16"/>
      <c r="N38" s="16"/>
      <c r="O38" s="12"/>
      <c r="P38" s="12"/>
      <c r="Q38" s="12"/>
      <c r="R38" s="12"/>
      <c r="S38" s="12"/>
      <c r="T38" s="12"/>
      <c r="U38" s="12"/>
      <c r="V38" s="12"/>
      <c r="AC38" s="217"/>
      <c r="AD38" s="179">
        <f>F37*H37*3.2</f>
        <v>0</v>
      </c>
      <c r="AE38" s="179">
        <f>F37*H37*2.5</f>
        <v>0</v>
      </c>
      <c r="AF38" s="179">
        <f>F37*H37*2.5</f>
        <v>0</v>
      </c>
      <c r="AG38" s="179">
        <f>F37*H37*5</f>
        <v>0</v>
      </c>
      <c r="AH38" s="262">
        <f>F37*H37*5.6</f>
        <v>0</v>
      </c>
      <c r="AI38" s="113">
        <f>F37*H37*3.6</f>
        <v>0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hidden="1">
      <c r="A39" s="16"/>
      <c r="B39" s="213" t="s">
        <v>121</v>
      </c>
      <c r="C39" s="170"/>
      <c r="D39" s="170" t="s">
        <v>172</v>
      </c>
      <c r="E39" s="170" t="s">
        <v>106</v>
      </c>
      <c r="F39" s="203">
        <f>AD2</f>
        <v>0</v>
      </c>
      <c r="G39" s="205">
        <f>F39*30</f>
        <v>0</v>
      </c>
      <c r="H39" s="173">
        <v>0.25</v>
      </c>
      <c r="I39" s="207">
        <f>G39*H39</f>
        <v>0</v>
      </c>
      <c r="J39" s="174" t="s">
        <v>15</v>
      </c>
      <c r="K39" s="264">
        <v>0.5</v>
      </c>
      <c r="L39" s="16"/>
      <c r="M39" s="16"/>
      <c r="N39" s="16"/>
      <c r="O39" s="12"/>
      <c r="P39" s="12"/>
      <c r="Q39" s="12"/>
      <c r="R39" s="12"/>
      <c r="S39" s="12"/>
      <c r="T39" s="12"/>
      <c r="U39" s="12"/>
      <c r="V39" s="12"/>
      <c r="AD39" s="215">
        <f>I39*25%</f>
        <v>0</v>
      </c>
      <c r="AE39" s="215">
        <f>I39*20%</f>
        <v>0</v>
      </c>
      <c r="AF39" s="215">
        <f>I39*50%</f>
        <v>0</v>
      </c>
      <c r="AG39" s="215">
        <f>I39*5%</f>
        <v>0</v>
      </c>
      <c r="AH39" s="215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hidden="1">
      <c r="A40" s="16"/>
      <c r="B40" s="169"/>
      <c r="C40" s="170"/>
      <c r="D40" s="170"/>
      <c r="E40" s="170"/>
      <c r="F40" s="216">
        <f>AD2</f>
        <v>0</v>
      </c>
      <c r="G40" s="205"/>
      <c r="H40" s="173"/>
      <c r="I40" s="207"/>
      <c r="J40" s="174"/>
      <c r="K40" s="11"/>
      <c r="L40" s="16"/>
      <c r="M40" s="16"/>
      <c r="N40" s="16"/>
      <c r="O40" s="12"/>
      <c r="P40" s="12"/>
      <c r="Q40" s="12"/>
      <c r="R40" s="12"/>
      <c r="S40" s="12"/>
      <c r="T40" s="12"/>
      <c r="U40" s="12"/>
      <c r="V40" s="12"/>
      <c r="AD40" s="217"/>
      <c r="AE40" s="217"/>
      <c r="AF40" s="218">
        <f>12.6*H39*F40</f>
        <v>0</v>
      </c>
      <c r="AG40" s="218"/>
      <c r="AH40" s="219">
        <f>H39*13.5*F40</f>
        <v>0</v>
      </c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hidden="1">
      <c r="A41" s="16"/>
      <c r="B41" s="169" t="s">
        <v>127</v>
      </c>
      <c r="C41" s="170"/>
      <c r="D41" s="170" t="s">
        <v>184</v>
      </c>
      <c r="E41" s="170" t="s">
        <v>185</v>
      </c>
      <c r="F41" s="203">
        <v>0.0</v>
      </c>
      <c r="G41" s="172">
        <f>F41*57</f>
        <v>0</v>
      </c>
      <c r="H41" s="173">
        <v>0.5</v>
      </c>
      <c r="I41" s="170">
        <f>G41*H41</f>
        <v>0</v>
      </c>
      <c r="J41" s="174" t="s">
        <v>55</v>
      </c>
      <c r="K41" s="11"/>
      <c r="L41" s="16"/>
      <c r="M41" s="16"/>
      <c r="N41" s="16"/>
      <c r="O41" s="12"/>
      <c r="P41" s="12"/>
      <c r="Q41" s="12"/>
      <c r="R41" s="12"/>
      <c r="S41" s="12"/>
      <c r="T41" s="12"/>
      <c r="U41" s="12"/>
      <c r="V41" s="12"/>
      <c r="AC41" s="175">
        <f>I41*20%</f>
        <v>0</v>
      </c>
      <c r="AD41" s="175">
        <f>I41*15%</f>
        <v>0</v>
      </c>
      <c r="AE41" s="175"/>
      <c r="AF41" s="175"/>
      <c r="AG41" s="175">
        <f>I41*50%</f>
        <v>0</v>
      </c>
      <c r="AH41" s="175">
        <f>I41*15%</f>
        <v>0</v>
      </c>
      <c r="AI41" s="175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hidden="1">
      <c r="A42" s="16"/>
      <c r="B42" s="169"/>
      <c r="C42" s="170"/>
      <c r="D42" s="170"/>
      <c r="E42" s="170"/>
      <c r="F42" s="178">
        <v>0.0</v>
      </c>
      <c r="G42" s="172"/>
      <c r="H42" s="173"/>
      <c r="I42" s="170"/>
      <c r="J42" s="174"/>
      <c r="K42" s="11"/>
      <c r="L42" s="16"/>
      <c r="M42" s="16"/>
      <c r="N42" s="16"/>
      <c r="O42" s="12"/>
      <c r="P42" s="12"/>
      <c r="Q42" s="12"/>
      <c r="R42" s="12"/>
      <c r="S42" s="12"/>
      <c r="T42" s="12"/>
      <c r="U42" s="12"/>
      <c r="V42" s="12"/>
      <c r="AC42" s="113">
        <f>F41*H41*0.4</f>
        <v>0</v>
      </c>
      <c r="AD42" s="100">
        <f>F41*H41*4.7</f>
        <v>0</v>
      </c>
      <c r="AE42" s="100">
        <f>F41*H41*6</f>
        <v>0</v>
      </c>
      <c r="AF42" s="100">
        <f>F41*H41*9.7</f>
        <v>0</v>
      </c>
      <c r="AG42" s="100">
        <f>F41*H41*5.7</f>
        <v>0</v>
      </c>
      <c r="AH42" s="100">
        <f>F41*H41*3.7</f>
        <v>0</v>
      </c>
      <c r="AI42" s="100">
        <f>F41*H41*1.5</f>
        <v>0</v>
      </c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hidden="1">
      <c r="A43" s="16"/>
      <c r="B43" s="270" t="s">
        <v>127</v>
      </c>
      <c r="C43" s="170"/>
      <c r="D43" s="170" t="s">
        <v>184</v>
      </c>
      <c r="E43" s="170" t="s">
        <v>200</v>
      </c>
      <c r="F43" s="203">
        <v>0.0</v>
      </c>
      <c r="G43" s="172">
        <f>F43*57</f>
        <v>0</v>
      </c>
      <c r="H43" s="173">
        <v>1.0</v>
      </c>
      <c r="I43" s="170">
        <f>G43*H43</f>
        <v>0</v>
      </c>
      <c r="J43" s="174" t="s">
        <v>55</v>
      </c>
      <c r="K43" s="11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AC43" s="175">
        <f>I43*20%</f>
        <v>0</v>
      </c>
      <c r="AD43" s="175">
        <f>I43*15%</f>
        <v>0</v>
      </c>
      <c r="AE43" s="175"/>
      <c r="AF43" s="175"/>
      <c r="AG43" s="175">
        <f>I43*50%</f>
        <v>0</v>
      </c>
      <c r="AH43" s="175">
        <f>I43*15%</f>
        <v>0</v>
      </c>
      <c r="AI43" s="175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 hidden="1">
      <c r="A44" s="16"/>
      <c r="B44" s="169"/>
      <c r="C44" s="170"/>
      <c r="D44" s="170"/>
      <c r="E44" s="170"/>
      <c r="F44" s="178">
        <v>0.0</v>
      </c>
      <c r="G44" s="172"/>
      <c r="H44" s="173"/>
      <c r="I44" s="170"/>
      <c r="J44" s="174"/>
      <c r="K44" s="11"/>
      <c r="L44" s="16"/>
      <c r="M44" s="16"/>
      <c r="N44" s="16"/>
      <c r="O44" s="12"/>
      <c r="P44" s="12"/>
      <c r="Q44" s="12"/>
      <c r="R44" s="12"/>
      <c r="S44" s="12"/>
      <c r="T44" s="12"/>
      <c r="U44" s="12"/>
      <c r="V44" s="12"/>
      <c r="W44" s="12"/>
      <c r="X44" s="12"/>
      <c r="AC44" s="113">
        <f>F43*H43*0.4</f>
        <v>0</v>
      </c>
      <c r="AD44" s="100">
        <f>F43*H43*4.7</f>
        <v>0</v>
      </c>
      <c r="AE44" s="100">
        <f>F43*H43*6</f>
        <v>0</v>
      </c>
      <c r="AF44" s="100">
        <f>F43*H43*9.7</f>
        <v>0</v>
      </c>
      <c r="AG44" s="100">
        <f>F43*H43*5.7</f>
        <v>0</v>
      </c>
      <c r="AH44" s="100">
        <f>F43*H43*3.7</f>
        <v>0</v>
      </c>
      <c r="AI44" s="100">
        <f>F43*H43*1.5</f>
        <v>0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 hidden="1">
      <c r="A45" s="16"/>
      <c r="B45" s="169" t="s">
        <v>127</v>
      </c>
      <c r="C45" s="170"/>
      <c r="D45" s="170" t="s">
        <v>214</v>
      </c>
      <c r="E45" s="170" t="s">
        <v>215</v>
      </c>
      <c r="F45" s="203">
        <v>0.0</v>
      </c>
      <c r="G45" s="172">
        <f>F45*30</f>
        <v>0</v>
      </c>
      <c r="H45" s="173">
        <v>0.15</v>
      </c>
      <c r="I45" s="170">
        <f>G45*H45</f>
        <v>0</v>
      </c>
      <c r="J45" s="174" t="s">
        <v>15</v>
      </c>
      <c r="K45" s="271">
        <v>0.0</v>
      </c>
      <c r="L45" s="16"/>
      <c r="M45" s="16"/>
      <c r="N45" s="16"/>
      <c r="O45" s="12"/>
      <c r="P45" s="12"/>
      <c r="Q45" s="12"/>
      <c r="R45" s="12"/>
      <c r="S45" s="12"/>
      <c r="T45" s="12"/>
      <c r="U45" s="12"/>
      <c r="V45" s="12"/>
      <c r="AA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hidden="1">
      <c r="A46" s="16"/>
      <c r="B46" s="169"/>
      <c r="C46" s="170"/>
      <c r="D46" s="170"/>
      <c r="E46" s="170"/>
      <c r="F46" s="203">
        <v>0.0</v>
      </c>
      <c r="G46" s="172"/>
      <c r="H46" s="173"/>
      <c r="I46" s="170"/>
      <c r="J46" s="174"/>
      <c r="K46" s="11"/>
      <c r="L46" s="16"/>
      <c r="M46" s="16"/>
      <c r="N46" s="16"/>
      <c r="O46" s="12"/>
      <c r="P46" s="12"/>
      <c r="Q46" s="12"/>
      <c r="R46" s="12"/>
      <c r="S46" s="12"/>
      <c r="T46" s="12"/>
      <c r="U46" s="12"/>
      <c r="V46" s="12"/>
      <c r="AA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 hidden="1">
      <c r="A47" s="16"/>
      <c r="B47" s="213" t="s">
        <v>121</v>
      </c>
      <c r="C47" s="170"/>
      <c r="D47" s="170"/>
      <c r="E47" s="170" t="s">
        <v>223</v>
      </c>
      <c r="F47" s="203">
        <f>AD2</f>
        <v>0</v>
      </c>
      <c r="G47" s="205">
        <f>F47*30</f>
        <v>0</v>
      </c>
      <c r="H47" s="173">
        <v>0.15</v>
      </c>
      <c r="I47" s="207">
        <f>G47*H47</f>
        <v>0</v>
      </c>
      <c r="J47" s="174" t="s">
        <v>15</v>
      </c>
      <c r="K47" s="264">
        <v>0.5</v>
      </c>
      <c r="L47" s="16"/>
      <c r="M47" s="16"/>
      <c r="N47" s="16"/>
      <c r="O47" s="12"/>
      <c r="P47" s="12"/>
      <c r="Q47" s="12"/>
      <c r="R47" s="12"/>
      <c r="S47" s="12"/>
      <c r="T47" s="12"/>
      <c r="U47" s="12"/>
      <c r="V47" s="12"/>
      <c r="AA47" s="12"/>
      <c r="AD47" s="215">
        <f>I47*25%</f>
        <v>0</v>
      </c>
      <c r="AE47" s="215">
        <f>I47*20%</f>
        <v>0</v>
      </c>
      <c r="AF47" s="215">
        <f>I47*50%</f>
        <v>0</v>
      </c>
      <c r="AG47" s="215">
        <f>I47*5%</f>
        <v>0</v>
      </c>
      <c r="AH47" s="215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hidden="1">
      <c r="A48" s="16"/>
      <c r="B48" s="169"/>
      <c r="C48" s="170"/>
      <c r="D48" s="170"/>
      <c r="E48" s="170"/>
      <c r="F48" s="216">
        <f>AD2</f>
        <v>0</v>
      </c>
      <c r="G48" s="205"/>
      <c r="H48" s="173"/>
      <c r="I48" s="207"/>
      <c r="J48" s="174"/>
      <c r="K48" s="11"/>
      <c r="L48" s="16"/>
      <c r="M48" s="16"/>
      <c r="N48" s="16"/>
      <c r="O48" s="12"/>
      <c r="P48" s="12"/>
      <c r="Q48" s="12"/>
      <c r="R48" s="12"/>
      <c r="S48" s="12"/>
      <c r="T48" s="12"/>
      <c r="U48" s="12"/>
      <c r="V48" s="12"/>
      <c r="AA48" s="12"/>
      <c r="AD48" s="217"/>
      <c r="AE48" s="217"/>
      <c r="AF48" s="218">
        <f>12.6*H47*F48</f>
        <v>0</v>
      </c>
      <c r="AG48" s="218"/>
      <c r="AH48" s="219">
        <f>H47*13.5*F48</f>
        <v>0</v>
      </c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hidden="1">
      <c r="A49" s="16"/>
      <c r="B49" s="213" t="s">
        <v>121</v>
      </c>
      <c r="C49" s="170"/>
      <c r="D49" s="170" t="s">
        <v>232</v>
      </c>
      <c r="E49" s="170" t="s">
        <v>233</v>
      </c>
      <c r="F49" s="203">
        <f>AD2</f>
        <v>0</v>
      </c>
      <c r="G49" s="205">
        <f>F49*2</f>
        <v>0</v>
      </c>
      <c r="H49" s="173">
        <v>0.45</v>
      </c>
      <c r="I49" s="207">
        <f>G49*H49</f>
        <v>0</v>
      </c>
      <c r="J49" s="174" t="s">
        <v>15</v>
      </c>
      <c r="K49" s="277">
        <v>0.5</v>
      </c>
      <c r="L49" s="16"/>
      <c r="M49" s="16"/>
      <c r="N49" s="16"/>
      <c r="O49" s="12"/>
      <c r="P49" s="12"/>
      <c r="Q49" s="12"/>
      <c r="R49" s="12"/>
      <c r="S49" s="12"/>
      <c r="T49" s="12"/>
      <c r="U49" s="12"/>
      <c r="V49" s="12"/>
      <c r="AA49" s="12"/>
      <c r="AD49" s="279">
        <f>I49</f>
        <v>0</v>
      </c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  <row r="50" hidden="1">
      <c r="A50" s="16"/>
      <c r="B50" s="169"/>
      <c r="C50" s="170"/>
      <c r="D50" s="170"/>
      <c r="E50" s="170"/>
      <c r="F50" s="203">
        <f>AD2</f>
        <v>0</v>
      </c>
      <c r="G50" s="205"/>
      <c r="H50" s="173"/>
      <c r="I50" s="207"/>
      <c r="J50" s="174"/>
      <c r="K50" s="11"/>
      <c r="L50" s="16"/>
      <c r="M50" s="16"/>
      <c r="N50" s="16"/>
      <c r="O50" s="12"/>
      <c r="P50" s="12"/>
      <c r="Q50" s="12"/>
      <c r="R50" s="12"/>
      <c r="S50" s="12"/>
      <c r="T50" s="12"/>
      <c r="U50" s="12"/>
      <c r="V50" s="12"/>
      <c r="AA50" s="12"/>
      <c r="AD50" s="280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hidden="1">
      <c r="A51" s="16"/>
      <c r="B51" s="213" t="s">
        <v>121</v>
      </c>
      <c r="C51" s="170"/>
      <c r="D51" s="170" t="s">
        <v>243</v>
      </c>
      <c r="E51" s="170" t="s">
        <v>233</v>
      </c>
      <c r="F51" s="203">
        <f>AD2</f>
        <v>0</v>
      </c>
      <c r="G51" s="205">
        <f>F51*1</f>
        <v>0</v>
      </c>
      <c r="H51" s="173">
        <v>0.45</v>
      </c>
      <c r="I51" s="207">
        <f>G51*H51</f>
        <v>0</v>
      </c>
      <c r="J51" s="174" t="s">
        <v>15</v>
      </c>
      <c r="K51" s="264">
        <v>0.5</v>
      </c>
      <c r="L51" s="16"/>
      <c r="M51" s="16"/>
      <c r="N51" s="16"/>
      <c r="O51" s="12"/>
      <c r="P51" s="12"/>
      <c r="Q51" s="12"/>
      <c r="R51" s="12"/>
      <c r="S51" s="12"/>
      <c r="T51" s="12"/>
      <c r="U51" s="12"/>
      <c r="V51" s="12"/>
      <c r="AA51" s="12"/>
      <c r="AD51" s="279">
        <f>I51</f>
        <v>0</v>
      </c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hidden="1">
      <c r="A52" s="16"/>
      <c r="B52" s="169"/>
      <c r="C52" s="170"/>
      <c r="D52" s="170"/>
      <c r="E52" s="170"/>
      <c r="F52" s="203">
        <f>AD2</f>
        <v>0</v>
      </c>
      <c r="G52" s="205"/>
      <c r="H52" s="173"/>
      <c r="I52" s="207"/>
      <c r="J52" s="174"/>
      <c r="K52" s="11"/>
      <c r="L52" s="16"/>
      <c r="M52" s="16"/>
      <c r="N52" s="16"/>
      <c r="O52" s="12"/>
      <c r="P52" s="12"/>
      <c r="Q52" s="12"/>
      <c r="R52" s="12"/>
      <c r="S52" s="12"/>
      <c r="T52" s="12"/>
      <c r="U52" s="12"/>
      <c r="V52" s="12"/>
      <c r="AA52" s="12"/>
      <c r="AD52" s="280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hidden="1">
      <c r="A53" s="16"/>
      <c r="B53" s="169" t="s">
        <v>121</v>
      </c>
      <c r="C53" s="170"/>
      <c r="D53" s="170" t="s">
        <v>249</v>
      </c>
      <c r="E53" s="170" t="s">
        <v>250</v>
      </c>
      <c r="F53" s="203">
        <v>0.0</v>
      </c>
      <c r="G53" s="172">
        <f>F53*50</f>
        <v>0</v>
      </c>
      <c r="H53" s="173">
        <v>0.15</v>
      </c>
      <c r="I53" s="170">
        <f>G53*H53</f>
        <v>0</v>
      </c>
      <c r="J53" s="174" t="s">
        <v>15</v>
      </c>
      <c r="K53" s="264">
        <v>0.3</v>
      </c>
      <c r="L53" s="16"/>
      <c r="M53" s="16"/>
      <c r="N53" s="16"/>
      <c r="O53" s="12"/>
      <c r="P53" s="12"/>
      <c r="Q53" s="12"/>
      <c r="R53" s="12"/>
      <c r="S53" s="12"/>
      <c r="T53" s="12"/>
      <c r="U53" s="12"/>
      <c r="V53" s="12"/>
      <c r="AA53" s="12"/>
      <c r="AC53" s="12"/>
      <c r="AD53" s="12"/>
      <c r="AE53" s="12"/>
      <c r="AF53" s="12"/>
      <c r="AG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  <row r="54" hidden="1">
      <c r="A54" s="16"/>
      <c r="B54" s="169"/>
      <c r="C54" s="170"/>
      <c r="D54" s="170"/>
      <c r="E54" s="170"/>
      <c r="F54" s="203">
        <v>0.0</v>
      </c>
      <c r="G54" s="172"/>
      <c r="H54" s="173"/>
      <c r="I54" s="170"/>
      <c r="J54" s="174"/>
      <c r="K54" s="11"/>
      <c r="L54" s="16"/>
      <c r="M54" s="16"/>
      <c r="N54" s="16"/>
      <c r="O54" s="12"/>
      <c r="P54" s="12"/>
      <c r="Q54" s="12"/>
      <c r="R54" s="12"/>
      <c r="S54" s="12"/>
      <c r="T54" s="12"/>
      <c r="U54" s="12"/>
      <c r="V54" s="12"/>
      <c r="AA54" s="12"/>
      <c r="AC54" s="12"/>
      <c r="AD54" s="12"/>
      <c r="AE54" s="12"/>
      <c r="AF54" s="12"/>
      <c r="AG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hidden="1">
      <c r="A55" s="16"/>
      <c r="B55" s="213" t="s">
        <v>121</v>
      </c>
      <c r="C55" s="170"/>
      <c r="D55" s="170" t="s">
        <v>256</v>
      </c>
      <c r="E55" s="170" t="s">
        <v>257</v>
      </c>
      <c r="F55" s="203">
        <f>AD2</f>
        <v>0</v>
      </c>
      <c r="G55" s="205">
        <f>F55*3</f>
        <v>0</v>
      </c>
      <c r="H55" s="173">
        <v>0.38</v>
      </c>
      <c r="I55" s="207">
        <f>G55*H55</f>
        <v>0</v>
      </c>
      <c r="J55" s="174" t="s">
        <v>15</v>
      </c>
      <c r="K55" s="277">
        <v>0.5</v>
      </c>
      <c r="L55" s="16"/>
      <c r="M55" s="16"/>
      <c r="N55" s="16"/>
      <c r="O55" s="12"/>
      <c r="P55" s="12"/>
      <c r="Q55" s="12"/>
      <c r="R55" s="12"/>
      <c r="S55" s="12"/>
      <c r="T55" s="12"/>
      <c r="U55" s="12"/>
      <c r="V55" s="12"/>
      <c r="AA55" s="12"/>
      <c r="AD55" s="279">
        <f>I55</f>
        <v>0</v>
      </c>
      <c r="AE55" s="12"/>
      <c r="AF55" s="12"/>
      <c r="AG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 hidden="1">
      <c r="A56" s="16"/>
      <c r="B56" s="169"/>
      <c r="C56" s="170"/>
      <c r="D56" s="170"/>
      <c r="E56" s="170"/>
      <c r="F56" s="203">
        <f>AD2</f>
        <v>0</v>
      </c>
      <c r="G56" s="205"/>
      <c r="H56" s="173"/>
      <c r="I56" s="207"/>
      <c r="J56" s="174"/>
      <c r="K56" s="11"/>
      <c r="L56" s="16"/>
      <c r="M56" s="16"/>
      <c r="N56" s="16"/>
      <c r="O56" s="12"/>
      <c r="P56" s="12"/>
      <c r="Q56" s="12"/>
      <c r="R56" s="12"/>
      <c r="S56" s="12"/>
      <c r="T56" s="12"/>
      <c r="U56" s="12"/>
      <c r="V56" s="12"/>
      <c r="AA56" s="12"/>
      <c r="AD56" s="280"/>
      <c r="AE56" s="12"/>
      <c r="AF56" s="12"/>
      <c r="AG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 hidden="1">
      <c r="A57" s="16"/>
      <c r="B57" s="169" t="s">
        <v>121</v>
      </c>
      <c r="C57" s="170"/>
      <c r="D57" s="170" t="s">
        <v>263</v>
      </c>
      <c r="E57" s="170" t="s">
        <v>264</v>
      </c>
      <c r="F57" s="203">
        <v>0.0</v>
      </c>
      <c r="G57" s="172">
        <f>F57*10</f>
        <v>0</v>
      </c>
      <c r="H57" s="173">
        <v>0.03</v>
      </c>
      <c r="I57" s="170">
        <f>G57*H57</f>
        <v>0</v>
      </c>
      <c r="J57" s="174" t="s">
        <v>15</v>
      </c>
      <c r="K57" s="11"/>
      <c r="L57" s="16"/>
      <c r="M57" s="16"/>
      <c r="N57" s="16"/>
      <c r="O57" s="12"/>
      <c r="P57" s="12"/>
      <c r="Q57" s="12"/>
      <c r="R57" s="12"/>
      <c r="S57" s="12"/>
      <c r="T57" s="12"/>
      <c r="U57" s="12"/>
      <c r="V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  <row r="58" hidden="1">
      <c r="A58" s="16"/>
      <c r="B58" s="169"/>
      <c r="C58" s="170"/>
      <c r="D58" s="170"/>
      <c r="E58" s="170"/>
      <c r="F58" s="203">
        <v>0.0</v>
      </c>
      <c r="G58" s="172"/>
      <c r="H58" s="173"/>
      <c r="I58" s="170"/>
      <c r="J58" s="174"/>
      <c r="K58" s="11"/>
      <c r="L58" s="16"/>
      <c r="M58" s="16"/>
      <c r="N58" s="16"/>
      <c r="O58" s="12"/>
      <c r="P58" s="12"/>
      <c r="Q58" s="12"/>
      <c r="R58" s="12"/>
      <c r="S58" s="12"/>
      <c r="T58" s="12"/>
      <c r="U58" s="12"/>
      <c r="V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</row>
    <row r="59" hidden="1">
      <c r="A59" s="16"/>
      <c r="B59" s="302" t="s">
        <v>42</v>
      </c>
      <c r="C59" s="303"/>
      <c r="D59" s="303" t="s">
        <v>273</v>
      </c>
      <c r="E59" s="303" t="s">
        <v>274</v>
      </c>
      <c r="F59" s="171">
        <v>0.0</v>
      </c>
      <c r="G59" s="304">
        <f>F59*30</f>
        <v>0</v>
      </c>
      <c r="H59" s="305">
        <v>0.7</v>
      </c>
      <c r="I59" s="303">
        <f>G59*H59</f>
        <v>0</v>
      </c>
      <c r="J59" s="306"/>
      <c r="K59" s="11" t="s">
        <v>278</v>
      </c>
      <c r="L59" s="16"/>
      <c r="M59" s="16"/>
      <c r="N59" s="16"/>
      <c r="O59" s="12"/>
      <c r="P59" s="12"/>
      <c r="Q59" s="12"/>
      <c r="R59" s="12"/>
      <c r="S59" s="12"/>
      <c r="T59" s="12"/>
      <c r="U59" s="12"/>
      <c r="V59" s="129"/>
      <c r="W59" s="129"/>
      <c r="X59" s="129"/>
      <c r="Y59" s="32">
        <f>I59*20%</f>
        <v>0</v>
      </c>
      <c r="Z59" s="32">
        <f>I59*25%</f>
        <v>0</v>
      </c>
      <c r="AA59" s="32">
        <f>I59*25%</f>
        <v>0</v>
      </c>
      <c r="AB59" s="32">
        <f>I59*30%</f>
        <v>0</v>
      </c>
      <c r="AD59" s="32"/>
      <c r="AE59" s="129"/>
      <c r="AF59" s="129"/>
      <c r="AG59" s="129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</row>
    <row r="60" hidden="1">
      <c r="A60" s="16"/>
      <c r="B60" s="308"/>
      <c r="C60" s="149"/>
      <c r="D60" s="149"/>
      <c r="E60" s="149"/>
      <c r="F60" s="216">
        <v>0.0</v>
      </c>
      <c r="G60" s="309"/>
      <c r="H60" s="310"/>
      <c r="I60" s="149"/>
      <c r="J60" s="306"/>
      <c r="K60" s="11"/>
      <c r="L60" s="16"/>
      <c r="M60" s="16"/>
      <c r="N60" s="16"/>
      <c r="O60" s="12"/>
      <c r="P60" s="12"/>
      <c r="Q60" s="12"/>
      <c r="R60" s="12"/>
      <c r="S60" s="12"/>
      <c r="T60" s="12"/>
      <c r="U60" s="12"/>
      <c r="V60" s="129"/>
      <c r="W60" s="129"/>
      <c r="X60" s="129"/>
      <c r="Y60" s="100"/>
      <c r="Z60" s="100">
        <f>1*H59</f>
        <v>0.7</v>
      </c>
      <c r="AA60" s="100">
        <f>0.8*H59</f>
        <v>0.56</v>
      </c>
      <c r="AB60" s="100">
        <f>H59*5</f>
        <v>3.5</v>
      </c>
      <c r="AD60" s="100">
        <f>H59*8</f>
        <v>5.6</v>
      </c>
      <c r="AE60" s="129"/>
      <c r="AF60" s="129"/>
      <c r="AG60" s="129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 hidden="1">
      <c r="A61" s="16"/>
      <c r="B61" s="311"/>
      <c r="C61" s="170"/>
      <c r="D61" s="170" t="s">
        <v>51</v>
      </c>
      <c r="E61" s="170" t="s">
        <v>289</v>
      </c>
      <c r="F61" s="171">
        <v>0.0</v>
      </c>
      <c r="G61" s="172">
        <f>F61*45</f>
        <v>0</v>
      </c>
      <c r="H61" s="173">
        <v>0.0</v>
      </c>
      <c r="I61" s="170">
        <f>G61*H61</f>
        <v>0</v>
      </c>
      <c r="J61" s="174"/>
      <c r="K61" s="11"/>
      <c r="L61" s="16"/>
      <c r="M61" s="16"/>
      <c r="N61" s="16"/>
      <c r="O61" s="12"/>
      <c r="P61" s="12"/>
      <c r="Q61" s="12"/>
      <c r="R61" s="12"/>
      <c r="S61" s="12"/>
      <c r="T61" s="12"/>
      <c r="U61" s="12"/>
      <c r="V61" s="12"/>
      <c r="W61" s="12"/>
      <c r="X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 hidden="1">
      <c r="A62" s="16"/>
      <c r="B62" s="169"/>
      <c r="C62" s="170"/>
      <c r="D62" s="170"/>
      <c r="E62" s="170"/>
      <c r="F62" s="216">
        <v>0.0</v>
      </c>
      <c r="G62" s="172"/>
      <c r="H62" s="173"/>
      <c r="I62" s="170"/>
      <c r="J62" s="174"/>
      <c r="K62" s="11"/>
      <c r="L62" s="16"/>
      <c r="M62" s="16"/>
      <c r="N62" s="16"/>
      <c r="O62" s="12"/>
      <c r="P62" s="12"/>
      <c r="Q62" s="12"/>
      <c r="R62" s="12"/>
      <c r="S62" s="12"/>
      <c r="T62" s="12"/>
      <c r="U62" s="12"/>
      <c r="V62" s="12"/>
      <c r="W62" s="12"/>
      <c r="X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</row>
    <row r="63" hidden="1">
      <c r="A63" s="47"/>
      <c r="B63" s="142" t="s">
        <v>77</v>
      </c>
      <c r="C63" s="143"/>
      <c r="D63" s="143" t="s">
        <v>300</v>
      </c>
      <c r="E63" s="143" t="s">
        <v>301</v>
      </c>
      <c r="F63" s="312">
        <v>0.0</v>
      </c>
      <c r="G63" s="313">
        <f>F63*30</f>
        <v>0</v>
      </c>
      <c r="H63" s="146">
        <v>0.5</v>
      </c>
      <c r="I63" s="143">
        <f>G63*H63</f>
        <v>0</v>
      </c>
      <c r="J63" s="314"/>
      <c r="K63" s="102"/>
      <c r="L63" s="47"/>
      <c r="M63" s="47"/>
      <c r="N63" s="47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</row>
    <row r="64" hidden="1">
      <c r="A64" s="47"/>
      <c r="B64" s="142"/>
      <c r="C64" s="143"/>
      <c r="D64" s="143"/>
      <c r="E64" s="143"/>
      <c r="F64" s="155">
        <v>0.0</v>
      </c>
      <c r="G64" s="313"/>
      <c r="H64" s="146"/>
      <c r="I64" s="143"/>
      <c r="J64" s="314"/>
      <c r="K64" s="102"/>
      <c r="L64" s="47"/>
      <c r="M64" s="47"/>
      <c r="N64" s="47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</row>
    <row r="65" hidden="1">
      <c r="A65" s="16"/>
      <c r="B65" s="213" t="s">
        <v>131</v>
      </c>
      <c r="C65" s="170"/>
      <c r="D65" s="170" t="s">
        <v>271</v>
      </c>
      <c r="E65" s="170" t="s">
        <v>250</v>
      </c>
      <c r="F65" s="171">
        <v>0.0</v>
      </c>
      <c r="G65" s="205">
        <f>F65*40</f>
        <v>0</v>
      </c>
      <c r="H65" s="173">
        <v>0.5</v>
      </c>
      <c r="I65" s="207">
        <f>G65*H65</f>
        <v>0</v>
      </c>
      <c r="J65" s="174" t="s">
        <v>310</v>
      </c>
      <c r="K65" s="11" t="s">
        <v>108</v>
      </c>
      <c r="L65" s="16"/>
      <c r="M65" s="16"/>
      <c r="N65" s="16"/>
      <c r="O65" s="12"/>
      <c r="P65" s="12"/>
      <c r="Q65" s="12"/>
      <c r="R65" s="12"/>
      <c r="S65" s="12"/>
      <c r="T65" s="12"/>
      <c r="U65" s="12"/>
      <c r="V65" s="12"/>
      <c r="W65" s="12"/>
      <c r="X65" s="12"/>
      <c r="AD65" s="35">
        <f>I65*10%</f>
        <v>0</v>
      </c>
      <c r="AE65" s="35">
        <f>I65*10%</f>
        <v>0</v>
      </c>
      <c r="AF65" s="317">
        <f>I65*10%</f>
        <v>0</v>
      </c>
      <c r="AG65" s="317">
        <f>I65*15%</f>
        <v>0</v>
      </c>
      <c r="AH65" s="317">
        <f>I65*55%</f>
        <v>0</v>
      </c>
      <c r="AI65" s="90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 hidden="1">
      <c r="A66" s="16"/>
      <c r="B66" s="169"/>
      <c r="C66" s="170"/>
      <c r="D66" s="170"/>
      <c r="E66" s="170"/>
      <c r="F66" s="318">
        <v>0.0</v>
      </c>
      <c r="G66" s="205"/>
      <c r="H66" s="173"/>
      <c r="I66" s="207"/>
      <c r="J66" s="174"/>
      <c r="K66" s="11"/>
      <c r="L66" s="16"/>
      <c r="M66" s="16"/>
      <c r="N66" s="16"/>
      <c r="O66" s="12"/>
      <c r="P66" s="12"/>
      <c r="Q66" s="12"/>
      <c r="R66" s="12"/>
      <c r="S66" s="12"/>
      <c r="T66" s="12"/>
      <c r="U66" s="12"/>
      <c r="V66" s="12"/>
      <c r="W66" s="12"/>
      <c r="X66" s="12"/>
      <c r="AD66" s="168"/>
      <c r="AE66" s="168">
        <f>F65*H65*3.4</f>
        <v>0</v>
      </c>
      <c r="AF66" s="168"/>
      <c r="AG66" s="168">
        <f>F65*H65*13</f>
        <v>0</v>
      </c>
      <c r="AH66" s="168">
        <f>F65*H65*13</f>
        <v>0</v>
      </c>
      <c r="AI66" s="168">
        <f>F65*H65*12</f>
        <v>0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 hidden="1">
      <c r="A67" s="16"/>
      <c r="B67" s="319" t="s">
        <v>134</v>
      </c>
      <c r="C67" s="320"/>
      <c r="D67" s="320" t="s">
        <v>324</v>
      </c>
      <c r="E67" s="320" t="s">
        <v>325</v>
      </c>
      <c r="F67" s="252">
        <v>0.0</v>
      </c>
      <c r="G67" s="323">
        <f>F67*59</f>
        <v>0</v>
      </c>
      <c r="H67" s="324">
        <v>0.7</v>
      </c>
      <c r="I67" s="325">
        <f>G67*H67</f>
        <v>0</v>
      </c>
      <c r="J67" s="326" t="s">
        <v>55</v>
      </c>
      <c r="K67" s="11" t="s">
        <v>138</v>
      </c>
      <c r="L67" s="327"/>
      <c r="M67" s="327"/>
      <c r="N67" s="327"/>
      <c r="O67" s="328"/>
      <c r="P67" s="328"/>
      <c r="Q67" s="328"/>
      <c r="R67" s="328"/>
      <c r="S67" s="328"/>
      <c r="T67" s="328"/>
      <c r="U67" s="328"/>
      <c r="V67" s="328"/>
      <c r="AD67" s="215">
        <f>I67*20%</f>
        <v>0</v>
      </c>
      <c r="AE67" s="215">
        <f>I67*15%</f>
        <v>0</v>
      </c>
      <c r="AF67" s="215">
        <f>I67*15%</f>
        <v>0</v>
      </c>
      <c r="AG67" s="215">
        <f>I67*15%</f>
        <v>0</v>
      </c>
      <c r="AH67" s="215">
        <f>I67*25%</f>
        <v>0</v>
      </c>
      <c r="AI67" s="215">
        <f>I67*10%</f>
        <v>0</v>
      </c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 hidden="1">
      <c r="A68" s="16"/>
      <c r="B68" s="319"/>
      <c r="C68" s="320"/>
      <c r="D68" s="320"/>
      <c r="E68" s="320"/>
      <c r="F68" s="252">
        <v>0.0</v>
      </c>
      <c r="G68" s="323"/>
      <c r="H68" s="324"/>
      <c r="I68" s="325"/>
      <c r="J68" s="326"/>
      <c r="K68" s="11"/>
      <c r="L68" s="16"/>
      <c r="M68" s="16"/>
      <c r="N68" s="16"/>
      <c r="O68" s="12"/>
      <c r="P68" s="12"/>
      <c r="Q68" s="12"/>
      <c r="R68" s="12"/>
      <c r="S68" s="12"/>
      <c r="T68" s="12"/>
      <c r="U68" s="12"/>
      <c r="V68" s="12"/>
      <c r="AD68" s="217">
        <f>F67*H67*2.9*2</f>
        <v>0</v>
      </c>
      <c r="AE68" s="217"/>
      <c r="AF68" s="218">
        <f>F67*H67*10*2</f>
        <v>0</v>
      </c>
      <c r="AG68" s="218">
        <f>F67*H67*26.5*2</f>
        <v>0</v>
      </c>
      <c r="AH68" s="219">
        <f>F67*H67*8.8*2</f>
        <v>0</v>
      </c>
      <c r="AI68" s="219">
        <f>F67*H67*11.3*2</f>
        <v>0</v>
      </c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 hidden="1">
      <c r="A69" s="16"/>
      <c r="B69" s="169" t="s">
        <v>131</v>
      </c>
      <c r="C69" s="170"/>
      <c r="D69" s="170" t="s">
        <v>271</v>
      </c>
      <c r="E69" s="170" t="s">
        <v>342</v>
      </c>
      <c r="F69" s="171">
        <v>0.0</v>
      </c>
      <c r="G69" s="205">
        <f>F69*37.5*4</f>
        <v>0</v>
      </c>
      <c r="H69" s="173">
        <v>1.0</v>
      </c>
      <c r="I69" s="207">
        <f>G69*H69</f>
        <v>0</v>
      </c>
      <c r="J69" s="174" t="s">
        <v>55</v>
      </c>
      <c r="K69" s="11"/>
      <c r="L69" s="329"/>
      <c r="M69" s="329"/>
      <c r="N69" s="329"/>
      <c r="O69" s="330"/>
      <c r="P69" s="330"/>
      <c r="Q69" s="330"/>
      <c r="R69" s="330"/>
      <c r="S69" s="330"/>
      <c r="T69" s="330"/>
      <c r="U69" s="330"/>
      <c r="V69" s="330"/>
      <c r="X69" s="12"/>
      <c r="AD69" s="35">
        <f>I69*10%</f>
        <v>0</v>
      </c>
      <c r="AE69" s="35">
        <f>I69*10%</f>
        <v>0</v>
      </c>
      <c r="AF69" s="317">
        <f>I69*10%</f>
        <v>0</v>
      </c>
      <c r="AG69" s="317">
        <f>I69*15%</f>
        <v>0</v>
      </c>
      <c r="AH69" s="317">
        <f>I69*55%</f>
        <v>0</v>
      </c>
      <c r="AI69" s="90"/>
      <c r="AJ69" s="12"/>
      <c r="AK69" s="12"/>
      <c r="AL69" s="12"/>
      <c r="AM69" s="12"/>
      <c r="AN69" s="12"/>
      <c r="AO69" s="12"/>
      <c r="AP69" s="12"/>
      <c r="AQ69" s="12"/>
      <c r="AR69" s="12"/>
      <c r="AS69" s="12"/>
    </row>
    <row r="70" hidden="1">
      <c r="A70" s="16"/>
      <c r="B70" s="169"/>
      <c r="C70" s="170"/>
      <c r="D70" s="170"/>
      <c r="E70" s="170"/>
      <c r="F70" s="318">
        <v>0.0</v>
      </c>
      <c r="G70" s="205"/>
      <c r="H70" s="173"/>
      <c r="I70" s="207"/>
      <c r="J70" s="174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X70" s="12"/>
      <c r="AD70" s="168"/>
      <c r="AE70" s="168">
        <f>F69*H69*3.4*4</f>
        <v>0</v>
      </c>
      <c r="AF70" s="168"/>
      <c r="AG70" s="168">
        <f>F69*H69*13*4</f>
        <v>0</v>
      </c>
      <c r="AH70" s="168">
        <f>F69*H69*13*4</f>
        <v>0</v>
      </c>
      <c r="AI70" s="168">
        <f>F69*H69*12*4</f>
        <v>0</v>
      </c>
      <c r="AJ70" s="12"/>
      <c r="AK70" s="12"/>
      <c r="AL70" s="12"/>
      <c r="AM70" s="12"/>
      <c r="AN70" s="12"/>
      <c r="AO70" s="12"/>
      <c r="AP70" s="12"/>
      <c r="AQ70" s="12"/>
      <c r="AR70" s="12"/>
      <c r="AS70" s="12"/>
    </row>
    <row r="71" hidden="1">
      <c r="A71" s="16"/>
      <c r="B71" s="220" t="s">
        <v>354</v>
      </c>
      <c r="C71" s="221"/>
      <c r="D71" s="221" t="s">
        <v>159</v>
      </c>
      <c r="E71" s="221" t="s">
        <v>355</v>
      </c>
      <c r="F71" s="252">
        <v>0.0</v>
      </c>
      <c r="G71" s="223">
        <f>F71*150</f>
        <v>0</v>
      </c>
      <c r="H71" s="224">
        <v>0.5</v>
      </c>
      <c r="I71" s="225">
        <f>G71*H71</f>
        <v>0</v>
      </c>
      <c r="J71" s="226" t="s">
        <v>55</v>
      </c>
      <c r="K71" s="11" t="s">
        <v>75</v>
      </c>
      <c r="L71" s="16"/>
      <c r="M71" s="16"/>
      <c r="N71" s="16"/>
      <c r="O71" s="12"/>
      <c r="P71" s="12"/>
      <c r="Q71" s="12"/>
      <c r="R71" s="12"/>
      <c r="S71" s="12"/>
      <c r="T71" s="12"/>
      <c r="U71" s="12"/>
      <c r="V71" s="12"/>
      <c r="W71" s="12"/>
      <c r="X71" s="12"/>
      <c r="AD71" s="279">
        <f>I71*10%</f>
        <v>0</v>
      </c>
      <c r="AE71" s="279">
        <f>I71*10%</f>
        <v>0</v>
      </c>
      <c r="AF71" s="336">
        <f>I71*10%</f>
        <v>0</v>
      </c>
      <c r="AG71" s="336">
        <f>I71*15%</f>
        <v>0</v>
      </c>
      <c r="AH71" s="336">
        <f>I71*55%</f>
        <v>0</v>
      </c>
      <c r="AI71" s="337"/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 hidden="1">
      <c r="A72" s="16"/>
      <c r="B72" s="220"/>
      <c r="C72" s="221"/>
      <c r="D72" s="221"/>
      <c r="E72" s="221"/>
      <c r="F72" s="252">
        <v>0.0</v>
      </c>
      <c r="G72" s="223"/>
      <c r="H72" s="224"/>
      <c r="I72" s="225"/>
      <c r="J72" s="226"/>
      <c r="K72" s="11"/>
      <c r="L72" s="16"/>
      <c r="M72" s="16"/>
      <c r="N72" s="16"/>
      <c r="O72" s="12"/>
      <c r="P72" s="12"/>
      <c r="Q72" s="12"/>
      <c r="R72" s="12"/>
      <c r="S72" s="12"/>
      <c r="T72" s="12"/>
      <c r="U72" s="12"/>
      <c r="V72" s="12"/>
      <c r="W72" s="12"/>
      <c r="X72" s="12"/>
      <c r="AD72" s="280"/>
      <c r="AE72" s="280">
        <f>F71*H71*3.4*4</f>
        <v>0</v>
      </c>
      <c r="AF72" s="280"/>
      <c r="AG72" s="280">
        <f>F71*H71*13*4</f>
        <v>0</v>
      </c>
      <c r="AH72" s="280">
        <f>F71*H71*13*4</f>
        <v>0</v>
      </c>
      <c r="AI72" s="280">
        <f>F71*H71*12*4</f>
        <v>0</v>
      </c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hidden="1">
      <c r="A73" s="47"/>
      <c r="B73" s="169" t="s">
        <v>131</v>
      </c>
      <c r="C73" s="170"/>
      <c r="D73" s="170" t="s">
        <v>367</v>
      </c>
      <c r="E73" s="170" t="s">
        <v>250</v>
      </c>
      <c r="F73" s="203">
        <v>0.0</v>
      </c>
      <c r="G73" s="205">
        <f>F73*50</f>
        <v>0</v>
      </c>
      <c r="H73" s="173">
        <v>0.15</v>
      </c>
      <c r="I73" s="207">
        <f>G73*H73</f>
        <v>0</v>
      </c>
      <c r="J73" s="338" t="s">
        <v>80</v>
      </c>
      <c r="K73" s="102"/>
      <c r="L73" s="47"/>
      <c r="M73" s="47"/>
      <c r="N73" s="47"/>
      <c r="O73" s="55"/>
      <c r="P73" s="55"/>
      <c r="Q73" s="55"/>
      <c r="R73" s="55"/>
      <c r="S73" s="55"/>
      <c r="T73" s="55"/>
      <c r="U73" s="55"/>
      <c r="V73" s="55"/>
      <c r="W73" s="55"/>
      <c r="X73" s="55"/>
      <c r="AD73" s="279">
        <f>I73*10%</f>
        <v>0</v>
      </c>
      <c r="AE73" s="279">
        <f>I73*10%</f>
        <v>0</v>
      </c>
      <c r="AF73" s="336">
        <f>I73*10%</f>
        <v>0</v>
      </c>
      <c r="AG73" s="336">
        <f>I73*15%</f>
        <v>0</v>
      </c>
      <c r="AH73" s="336">
        <f>I73*55%</f>
        <v>0</v>
      </c>
      <c r="AI73" s="337"/>
      <c r="AJ73" s="55"/>
      <c r="AK73" s="55"/>
      <c r="AL73" s="55"/>
      <c r="AM73" s="55"/>
      <c r="AN73" s="55"/>
      <c r="AO73" s="55"/>
      <c r="AP73" s="55"/>
      <c r="AQ73" s="55"/>
      <c r="AR73" s="55"/>
      <c r="AS73" s="55"/>
    </row>
    <row r="74" hidden="1">
      <c r="A74" s="47"/>
      <c r="B74" s="169"/>
      <c r="C74" s="170"/>
      <c r="D74" s="170"/>
      <c r="E74" s="170"/>
      <c r="F74" s="203">
        <v>0.0</v>
      </c>
      <c r="G74" s="205"/>
      <c r="H74" s="173"/>
      <c r="I74" s="207"/>
      <c r="J74" s="338"/>
      <c r="K74" s="102"/>
      <c r="L74" s="47"/>
      <c r="M74" s="47"/>
      <c r="N74" s="47"/>
      <c r="O74" s="55"/>
      <c r="P74" s="55"/>
      <c r="Q74" s="55"/>
      <c r="R74" s="55"/>
      <c r="S74" s="55"/>
      <c r="T74" s="55"/>
      <c r="U74" s="55"/>
      <c r="V74" s="55"/>
      <c r="W74" s="55"/>
      <c r="X74" s="55"/>
      <c r="AD74" s="280"/>
      <c r="AE74" s="280">
        <f>F73*H73*3.4</f>
        <v>0</v>
      </c>
      <c r="AF74" s="280"/>
      <c r="AG74" s="280">
        <f>F73*H73*13</f>
        <v>0</v>
      </c>
      <c r="AH74" s="280">
        <f>F73*H73*13</f>
        <v>0</v>
      </c>
      <c r="AI74" s="280">
        <f>F73*H73*12</f>
        <v>0</v>
      </c>
      <c r="AJ74" s="55"/>
      <c r="AK74" s="55"/>
      <c r="AL74" s="55"/>
      <c r="AM74" s="55"/>
      <c r="AN74" s="55"/>
      <c r="AO74" s="55"/>
      <c r="AP74" s="55"/>
      <c r="AQ74" s="55"/>
      <c r="AR74" s="55"/>
      <c r="AS74" s="55"/>
    </row>
    <row r="75" hidden="1">
      <c r="A75" s="47"/>
      <c r="B75" s="270" t="s">
        <v>131</v>
      </c>
      <c r="C75" s="170"/>
      <c r="D75" s="170" t="s">
        <v>271</v>
      </c>
      <c r="E75" s="170" t="s">
        <v>383</v>
      </c>
      <c r="F75" s="171">
        <f>AD2</f>
        <v>0</v>
      </c>
      <c r="G75" s="205">
        <f>F75*30</f>
        <v>0</v>
      </c>
      <c r="H75" s="173">
        <v>0.3</v>
      </c>
      <c r="I75" s="207">
        <f>G75*H75</f>
        <v>0</v>
      </c>
      <c r="J75" s="338" t="s">
        <v>15</v>
      </c>
      <c r="K75" s="102"/>
      <c r="L75" s="47"/>
      <c r="M75" s="47"/>
      <c r="N75" s="47"/>
      <c r="O75" s="55"/>
      <c r="P75" s="55"/>
      <c r="Q75" s="55"/>
      <c r="R75" s="55"/>
      <c r="S75" s="55"/>
      <c r="T75" s="55"/>
      <c r="U75" s="55"/>
      <c r="V75" s="55"/>
      <c r="W75" s="55"/>
      <c r="X75" s="55"/>
      <c r="AE75" s="279">
        <f>I75*10%</f>
        <v>0</v>
      </c>
      <c r="AF75" s="279">
        <f>I75*10%</f>
        <v>0</v>
      </c>
      <c r="AG75" s="336">
        <f>I75*10%</f>
        <v>0</v>
      </c>
      <c r="AH75" s="336">
        <f>I75*15%</f>
        <v>0</v>
      </c>
      <c r="AI75" s="336">
        <f>I75*55%</f>
        <v>0</v>
      </c>
      <c r="AJ75" s="337"/>
      <c r="AK75" s="55"/>
      <c r="AL75" s="55"/>
      <c r="AM75" s="55"/>
      <c r="AN75" s="55"/>
      <c r="AO75" s="55"/>
      <c r="AP75" s="55"/>
      <c r="AQ75" s="55"/>
      <c r="AR75" s="55"/>
      <c r="AS75" s="55"/>
    </row>
    <row r="76" hidden="1">
      <c r="A76" s="47"/>
      <c r="B76" s="169"/>
      <c r="C76" s="170"/>
      <c r="D76" s="170"/>
      <c r="E76" s="170"/>
      <c r="F76" s="216">
        <f>AD2</f>
        <v>0</v>
      </c>
      <c r="G76" s="205"/>
      <c r="H76" s="173"/>
      <c r="I76" s="207"/>
      <c r="J76" s="338"/>
      <c r="K76" s="102"/>
      <c r="L76" s="47"/>
      <c r="M76" s="47"/>
      <c r="N76" s="47"/>
      <c r="O76" s="55"/>
      <c r="P76" s="55"/>
      <c r="Q76" s="55"/>
      <c r="R76" s="55"/>
      <c r="S76" s="55"/>
      <c r="T76" s="55"/>
      <c r="U76" s="55"/>
      <c r="V76" s="55"/>
      <c r="W76" s="55"/>
      <c r="X76" s="55"/>
      <c r="AE76" s="280"/>
      <c r="AF76" s="280">
        <f>F75*H75*3.4</f>
        <v>0</v>
      </c>
      <c r="AG76" s="280"/>
      <c r="AH76" s="280">
        <f>F75*H75*13</f>
        <v>0</v>
      </c>
      <c r="AI76" s="280">
        <f>F75*H75*13</f>
        <v>0</v>
      </c>
      <c r="AJ76" s="280">
        <f>F75*H75*12</f>
        <v>0</v>
      </c>
      <c r="AK76" s="55"/>
      <c r="AL76" s="55"/>
      <c r="AM76" s="55"/>
      <c r="AN76" s="55"/>
      <c r="AO76" s="55"/>
      <c r="AP76" s="55"/>
      <c r="AQ76" s="55"/>
      <c r="AR76" s="55"/>
      <c r="AS76" s="55"/>
    </row>
    <row r="77" hidden="1">
      <c r="A77" s="16"/>
      <c r="B77" s="169" t="s">
        <v>131</v>
      </c>
      <c r="C77" s="170"/>
      <c r="D77" s="170" t="s">
        <v>395</v>
      </c>
      <c r="E77" s="170" t="s">
        <v>396</v>
      </c>
      <c r="F77" s="203">
        <v>0.0</v>
      </c>
      <c r="G77" s="172">
        <f>F77*22</f>
        <v>0</v>
      </c>
      <c r="H77" s="173">
        <v>0.05</v>
      </c>
      <c r="I77" s="170">
        <f>G77*H77</f>
        <v>0</v>
      </c>
      <c r="J77" s="174" t="s">
        <v>15</v>
      </c>
      <c r="K77" s="264">
        <v>0.5</v>
      </c>
      <c r="L77" s="16"/>
      <c r="M77" s="16"/>
      <c r="N77" s="16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AE77" s="341">
        <f>I77*10%</f>
        <v>0</v>
      </c>
      <c r="AF77" s="341">
        <f>I77*10%</f>
        <v>0</v>
      </c>
      <c r="AG77" s="337">
        <f>I77*10%</f>
        <v>0</v>
      </c>
      <c r="AH77" s="337">
        <f>I77*15%</f>
        <v>0</v>
      </c>
      <c r="AI77" s="337">
        <f>I77*55%</f>
        <v>0</v>
      </c>
      <c r="AJ77" s="337"/>
      <c r="AL77" s="12"/>
      <c r="AM77" s="12"/>
      <c r="AN77" s="12"/>
      <c r="AO77" s="12"/>
      <c r="AP77" s="12"/>
      <c r="AQ77" s="12"/>
      <c r="AR77" s="12"/>
      <c r="AS77" s="12"/>
    </row>
    <row r="78" hidden="1">
      <c r="A78" s="16"/>
      <c r="B78" s="169"/>
      <c r="C78" s="170"/>
      <c r="D78" s="170"/>
      <c r="E78" s="170"/>
      <c r="F78" s="203">
        <v>0.0</v>
      </c>
      <c r="G78" s="172"/>
      <c r="H78" s="173"/>
      <c r="I78" s="170"/>
      <c r="J78" s="174"/>
      <c r="K78" s="11"/>
      <c r="L78" s="16"/>
      <c r="M78" s="16"/>
      <c r="N78" s="16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AE78" s="280"/>
      <c r="AF78" s="280">
        <f>F77*H77*3.4</f>
        <v>0</v>
      </c>
      <c r="AG78" s="280"/>
      <c r="AH78" s="280">
        <f>F77*H77*13</f>
        <v>0</v>
      </c>
      <c r="AI78" s="280">
        <f>F77*H77*13</f>
        <v>0</v>
      </c>
      <c r="AJ78" s="280">
        <f>F77*H77*12</f>
        <v>0</v>
      </c>
      <c r="AL78" s="12"/>
      <c r="AM78" s="12"/>
      <c r="AN78" s="12"/>
      <c r="AO78" s="12"/>
      <c r="AP78" s="12"/>
      <c r="AQ78" s="12"/>
      <c r="AR78" s="12"/>
      <c r="AS78" s="12"/>
    </row>
    <row r="79" hidden="1">
      <c r="A79" s="16"/>
      <c r="B79" s="213" t="s">
        <v>131</v>
      </c>
      <c r="C79" s="170"/>
      <c r="D79" s="170" t="s">
        <v>395</v>
      </c>
      <c r="E79" s="170" t="s">
        <v>414</v>
      </c>
      <c r="F79" s="203">
        <f>AD2</f>
        <v>0</v>
      </c>
      <c r="G79" s="205">
        <f>F79*30</f>
        <v>0</v>
      </c>
      <c r="H79" s="173">
        <v>0.15</v>
      </c>
      <c r="I79" s="207">
        <f>G79*H79</f>
        <v>0</v>
      </c>
      <c r="J79" s="174" t="s">
        <v>15</v>
      </c>
      <c r="K79" s="264">
        <v>0.5</v>
      </c>
      <c r="L79" s="16"/>
      <c r="M79" s="16"/>
      <c r="N79" s="16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AE79" s="279">
        <f>I79*10%</f>
        <v>0</v>
      </c>
      <c r="AF79" s="279">
        <f>I79*10%</f>
        <v>0</v>
      </c>
      <c r="AG79" s="336">
        <f>I79*10%</f>
        <v>0</v>
      </c>
      <c r="AH79" s="336">
        <f>I79*15%</f>
        <v>0</v>
      </c>
      <c r="AI79" s="336">
        <f>I79*55%</f>
        <v>0</v>
      </c>
      <c r="AJ79" s="337"/>
      <c r="AL79" s="12"/>
      <c r="AM79" s="12"/>
      <c r="AN79" s="12"/>
      <c r="AO79" s="12"/>
      <c r="AP79" s="12"/>
      <c r="AQ79" s="12"/>
      <c r="AR79" s="12"/>
      <c r="AS79" s="12"/>
    </row>
    <row r="80" hidden="1">
      <c r="A80" s="16"/>
      <c r="B80" s="169"/>
      <c r="C80" s="170"/>
      <c r="D80" s="170"/>
      <c r="E80" s="170"/>
      <c r="F80" s="203">
        <f>AD2</f>
        <v>0</v>
      </c>
      <c r="G80" s="205"/>
      <c r="H80" s="173"/>
      <c r="I80" s="207"/>
      <c r="J80" s="174"/>
      <c r="K80" s="11"/>
      <c r="L80" s="16"/>
      <c r="M80" s="16"/>
      <c r="N80" s="16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AE80" s="280"/>
      <c r="AF80" s="280">
        <f>F79*H79*3.4</f>
        <v>0</v>
      </c>
      <c r="AG80" s="280"/>
      <c r="AH80" s="280">
        <f>F79*H79*13</f>
        <v>0</v>
      </c>
      <c r="AI80" s="280">
        <f>F79*H79*13</f>
        <v>0</v>
      </c>
      <c r="AJ80" s="280">
        <f>F79*H79*12</f>
        <v>0</v>
      </c>
      <c r="AL80" s="12"/>
      <c r="AM80" s="12"/>
      <c r="AN80" s="12"/>
      <c r="AO80" s="12"/>
      <c r="AP80" s="12"/>
      <c r="AQ80" s="12"/>
      <c r="AR80" s="12"/>
      <c r="AS80" s="12"/>
    </row>
    <row r="81" hidden="1">
      <c r="A81" s="16"/>
      <c r="B81" s="169" t="s">
        <v>131</v>
      </c>
      <c r="C81" s="170"/>
      <c r="D81" s="170" t="s">
        <v>271</v>
      </c>
      <c r="E81" s="170" t="s">
        <v>428</v>
      </c>
      <c r="F81" s="203">
        <v>0.0</v>
      </c>
      <c r="G81" s="172">
        <f>F81*50</f>
        <v>0</v>
      </c>
      <c r="H81" s="173">
        <v>0.3</v>
      </c>
      <c r="I81" s="170">
        <f>G81*H81</f>
        <v>0</v>
      </c>
      <c r="J81" s="174" t="s">
        <v>15</v>
      </c>
      <c r="K81" s="11"/>
      <c r="L81" s="16"/>
      <c r="M81" s="16"/>
      <c r="N81" s="16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AL81" s="12"/>
      <c r="AM81" s="12"/>
      <c r="AN81" s="12"/>
      <c r="AO81" s="12"/>
      <c r="AP81" s="12"/>
      <c r="AQ81" s="12"/>
      <c r="AR81" s="12"/>
      <c r="AS81" s="12"/>
    </row>
    <row r="82" hidden="1">
      <c r="A82" s="16"/>
      <c r="B82" s="169"/>
      <c r="C82" s="170"/>
      <c r="D82" s="170"/>
      <c r="E82" s="170"/>
      <c r="F82" s="203">
        <v>0.0</v>
      </c>
      <c r="G82" s="172"/>
      <c r="H82" s="173"/>
      <c r="I82" s="170"/>
      <c r="J82" s="174"/>
      <c r="K82" s="11"/>
      <c r="L82" s="16"/>
      <c r="M82" s="16"/>
      <c r="N82" s="16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AL82" s="12"/>
      <c r="AM82" s="12"/>
      <c r="AN82" s="12"/>
      <c r="AO82" s="12"/>
      <c r="AP82" s="12"/>
      <c r="AQ82" s="12"/>
      <c r="AR82" s="12"/>
      <c r="AS82" s="12"/>
    </row>
    <row r="83" hidden="1">
      <c r="A83" s="16"/>
      <c r="B83" s="213" t="s">
        <v>131</v>
      </c>
      <c r="C83" s="170"/>
      <c r="D83" s="170" t="s">
        <v>157</v>
      </c>
      <c r="E83" s="170" t="s">
        <v>432</v>
      </c>
      <c r="F83" s="203">
        <f>AD2</f>
        <v>0</v>
      </c>
      <c r="G83" s="205">
        <f>F83*40</f>
        <v>0</v>
      </c>
      <c r="H83" s="173">
        <v>0.15</v>
      </c>
      <c r="I83" s="207">
        <f>G83*H83</f>
        <v>0</v>
      </c>
      <c r="J83" s="174" t="s">
        <v>15</v>
      </c>
      <c r="K83" s="264">
        <v>0.5</v>
      </c>
      <c r="L83" s="16"/>
      <c r="M83" s="16"/>
      <c r="N83" s="16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AE83" s="279">
        <f>I83*10%</f>
        <v>0</v>
      </c>
      <c r="AF83" s="279">
        <f>I83*10%</f>
        <v>0</v>
      </c>
      <c r="AG83" s="336">
        <f>I83*10%</f>
        <v>0</v>
      </c>
      <c r="AH83" s="336">
        <f>I83*15%</f>
        <v>0</v>
      </c>
      <c r="AI83" s="336">
        <f>I83*55%</f>
        <v>0</v>
      </c>
      <c r="AJ83" s="337"/>
      <c r="AL83" s="12"/>
      <c r="AM83" s="12"/>
      <c r="AN83" s="12"/>
      <c r="AO83" s="12"/>
      <c r="AP83" s="12"/>
      <c r="AQ83" s="12"/>
      <c r="AR83" s="12"/>
      <c r="AS83" s="12"/>
    </row>
    <row r="84" hidden="1">
      <c r="A84" s="16"/>
      <c r="B84" s="169"/>
      <c r="C84" s="170"/>
      <c r="D84" s="170"/>
      <c r="E84" s="170"/>
      <c r="F84" s="203">
        <f>AD2</f>
        <v>0</v>
      </c>
      <c r="G84" s="205"/>
      <c r="H84" s="173"/>
      <c r="I84" s="207"/>
      <c r="J84" s="174"/>
      <c r="K84" s="11"/>
      <c r="L84" s="16"/>
      <c r="M84" s="16"/>
      <c r="N84" s="16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AE84" s="280"/>
      <c r="AF84" s="280">
        <f>F83*H83*3.4</f>
        <v>0</v>
      </c>
      <c r="AG84" s="280"/>
      <c r="AH84" s="280">
        <f>F83*H83*13</f>
        <v>0</v>
      </c>
      <c r="AI84" s="280">
        <f>F83*H83*13</f>
        <v>0</v>
      </c>
      <c r="AJ84" s="280">
        <f>F83*H83*12</f>
        <v>0</v>
      </c>
      <c r="AL84" s="12"/>
      <c r="AM84" s="12"/>
      <c r="AN84" s="12"/>
      <c r="AO84" s="12"/>
      <c r="AP84" s="12"/>
      <c r="AQ84" s="12"/>
      <c r="AR84" s="12"/>
      <c r="AS84" s="12"/>
    </row>
    <row r="85" hidden="1">
      <c r="A85" s="47"/>
      <c r="B85" s="213" t="s">
        <v>434</v>
      </c>
      <c r="C85" s="170"/>
      <c r="D85" s="170" t="s">
        <v>435</v>
      </c>
      <c r="E85" s="170" t="s">
        <v>437</v>
      </c>
      <c r="F85" s="203">
        <f>AD2</f>
        <v>0</v>
      </c>
      <c r="G85" s="205">
        <f>F85*10</f>
        <v>0</v>
      </c>
      <c r="H85" s="173">
        <v>0.45</v>
      </c>
      <c r="I85" s="207">
        <f>G85*H85</f>
        <v>0</v>
      </c>
      <c r="J85" s="174" t="s">
        <v>15</v>
      </c>
      <c r="K85" s="264">
        <v>0.5</v>
      </c>
      <c r="L85" s="47"/>
      <c r="M85" s="47"/>
      <c r="N85" s="47"/>
      <c r="O85" s="55"/>
      <c r="P85" s="55"/>
      <c r="Q85" s="55"/>
      <c r="R85" s="55"/>
      <c r="S85" s="55"/>
      <c r="T85" s="55"/>
      <c r="U85" s="55"/>
      <c r="V85" s="55"/>
      <c r="W85" s="55"/>
      <c r="X85" s="55"/>
      <c r="AF85" s="279">
        <f>I85*10%</f>
        <v>0</v>
      </c>
      <c r="AG85" s="279">
        <f>I85*10%</f>
        <v>0</v>
      </c>
      <c r="AH85" s="336">
        <f>I85*10%</f>
        <v>0</v>
      </c>
      <c r="AI85" s="336">
        <f>I85*15%</f>
        <v>0</v>
      </c>
      <c r="AJ85" s="336">
        <f>I85*55%</f>
        <v>0</v>
      </c>
      <c r="AK85" s="337"/>
      <c r="AL85" s="55"/>
      <c r="AM85" s="55"/>
      <c r="AN85" s="55"/>
      <c r="AO85" s="55"/>
      <c r="AP85" s="55"/>
      <c r="AQ85" s="55"/>
      <c r="AR85" s="55"/>
      <c r="AS85" s="55"/>
    </row>
    <row r="86" hidden="1">
      <c r="A86" s="47"/>
      <c r="B86" s="169"/>
      <c r="C86" s="170"/>
      <c r="D86" s="170"/>
      <c r="E86" s="170"/>
      <c r="F86" s="203">
        <f>AD2</f>
        <v>0</v>
      </c>
      <c r="G86" s="205"/>
      <c r="H86" s="173"/>
      <c r="I86" s="207"/>
      <c r="J86" s="174"/>
      <c r="K86" s="102"/>
      <c r="L86" s="47"/>
      <c r="M86" s="47"/>
      <c r="N86" s="47"/>
      <c r="O86" s="55"/>
      <c r="P86" s="55"/>
      <c r="Q86" s="55"/>
      <c r="R86" s="55"/>
      <c r="S86" s="55"/>
      <c r="T86" s="55"/>
      <c r="U86" s="55"/>
      <c r="V86" s="55"/>
      <c r="W86" s="55"/>
      <c r="X86" s="55"/>
      <c r="AF86" s="280"/>
      <c r="AG86" s="280">
        <f>F85*H85*3.4</f>
        <v>0</v>
      </c>
      <c r="AH86" s="280"/>
      <c r="AI86" s="280">
        <f>F85*H85*13</f>
        <v>0</v>
      </c>
      <c r="AJ86" s="280">
        <f>F85*H85*13</f>
        <v>0</v>
      </c>
      <c r="AK86" s="280">
        <f>F85*H85*12</f>
        <v>0</v>
      </c>
      <c r="AL86" s="55"/>
      <c r="AM86" s="55"/>
      <c r="AN86" s="55"/>
      <c r="AO86" s="55"/>
      <c r="AP86" s="55"/>
      <c r="AQ86" s="55"/>
      <c r="AR86" s="55"/>
      <c r="AS86" s="55"/>
    </row>
    <row r="87" hidden="1">
      <c r="A87" s="16"/>
      <c r="B87" s="270" t="s">
        <v>434</v>
      </c>
      <c r="C87" s="170"/>
      <c r="D87" s="170" t="s">
        <v>447</v>
      </c>
      <c r="E87" s="170" t="s">
        <v>448</v>
      </c>
      <c r="F87" s="203">
        <v>0.0</v>
      </c>
      <c r="G87" s="172">
        <f>F87*30</f>
        <v>0</v>
      </c>
      <c r="H87" s="173">
        <v>0.1</v>
      </c>
      <c r="I87" s="170">
        <f>G87*H87</f>
        <v>0</v>
      </c>
      <c r="J87" s="174" t="s">
        <v>15</v>
      </c>
      <c r="K87" s="264">
        <v>0.5</v>
      </c>
      <c r="L87" s="16"/>
      <c r="M87" s="16"/>
      <c r="N87" s="16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AF87" s="341">
        <f>I87*10%</f>
        <v>0</v>
      </c>
      <c r="AG87" s="341">
        <f>I87*10%</f>
        <v>0</v>
      </c>
      <c r="AH87" s="337">
        <f>I87*10%</f>
        <v>0</v>
      </c>
      <c r="AI87" s="337">
        <f>I87*15%</f>
        <v>0</v>
      </c>
      <c r="AJ87" s="337">
        <f>I87*55%</f>
        <v>0</v>
      </c>
      <c r="AK87" s="337"/>
      <c r="AL87" s="12"/>
      <c r="AM87" s="12"/>
      <c r="AN87" s="12"/>
      <c r="AO87" s="12"/>
      <c r="AP87" s="12"/>
      <c r="AQ87" s="12"/>
      <c r="AR87" s="12"/>
      <c r="AS87" s="12"/>
    </row>
    <row r="88" hidden="1">
      <c r="A88" s="16"/>
      <c r="B88" s="169"/>
      <c r="C88" s="170"/>
      <c r="D88" s="170"/>
      <c r="E88" s="170"/>
      <c r="F88" s="203">
        <v>0.0</v>
      </c>
      <c r="G88" s="172"/>
      <c r="H88" s="173"/>
      <c r="I88" s="170"/>
      <c r="J88" s="174"/>
      <c r="K88" s="11"/>
      <c r="L88" s="16"/>
      <c r="M88" s="16"/>
      <c r="N88" s="16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AF88" s="280"/>
      <c r="AG88" s="280">
        <f>F87*H87*3.4</f>
        <v>0</v>
      </c>
      <c r="AH88" s="280"/>
      <c r="AI88" s="280">
        <f>F87*H87*13</f>
        <v>0</v>
      </c>
      <c r="AJ88" s="280">
        <f>F87*H87*13</f>
        <v>0</v>
      </c>
      <c r="AK88" s="280">
        <f>F87*H87*12</f>
        <v>0</v>
      </c>
      <c r="AL88" s="12"/>
      <c r="AM88" s="12"/>
      <c r="AN88" s="12"/>
      <c r="AO88" s="12"/>
      <c r="AP88" s="12"/>
      <c r="AQ88" s="12"/>
      <c r="AR88" s="12"/>
      <c r="AS88" s="12"/>
    </row>
    <row r="89" hidden="1">
      <c r="A89" s="16"/>
      <c r="B89" s="213" t="s">
        <v>452</v>
      </c>
      <c r="C89" s="170"/>
      <c r="D89" s="170" t="s">
        <v>453</v>
      </c>
      <c r="E89" s="170" t="s">
        <v>454</v>
      </c>
      <c r="F89" s="203">
        <f>AD2</f>
        <v>0</v>
      </c>
      <c r="G89" s="205">
        <f>F89*28</f>
        <v>0</v>
      </c>
      <c r="H89" s="173">
        <v>0.15</v>
      </c>
      <c r="I89" s="207">
        <f>G89*H89</f>
        <v>0</v>
      </c>
      <c r="J89" s="174" t="s">
        <v>15</v>
      </c>
      <c r="K89" s="264">
        <v>0.5</v>
      </c>
      <c r="L89" s="16"/>
      <c r="M89" s="16"/>
      <c r="N89" s="16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AF89" s="279">
        <f>I89*10%</f>
        <v>0</v>
      </c>
      <c r="AG89" s="279">
        <f>I89*10%</f>
        <v>0</v>
      </c>
      <c r="AH89" s="336">
        <f>I89*10%</f>
        <v>0</v>
      </c>
      <c r="AI89" s="336">
        <f>I89*15%</f>
        <v>0</v>
      </c>
      <c r="AJ89" s="336">
        <f>I89*55%</f>
        <v>0</v>
      </c>
      <c r="AK89" s="337"/>
      <c r="AL89" s="12"/>
      <c r="AM89" s="12"/>
      <c r="AN89" s="12"/>
      <c r="AO89" s="12"/>
      <c r="AP89" s="12"/>
      <c r="AQ89" s="12"/>
      <c r="AR89" s="12"/>
      <c r="AS89" s="12"/>
    </row>
    <row r="90" hidden="1">
      <c r="A90" s="16"/>
      <c r="B90" s="169"/>
      <c r="C90" s="170"/>
      <c r="D90" s="170"/>
      <c r="E90" s="170"/>
      <c r="F90" s="203">
        <f>AD2</f>
        <v>0</v>
      </c>
      <c r="G90" s="205"/>
      <c r="H90" s="173"/>
      <c r="I90" s="207"/>
      <c r="J90" s="174"/>
      <c r="K90" s="11"/>
      <c r="L90" s="16"/>
      <c r="M90" s="16"/>
      <c r="N90" s="16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AF90" s="280"/>
      <c r="AG90" s="280">
        <f>F89*H89*3.4</f>
        <v>0</v>
      </c>
      <c r="AH90" s="280"/>
      <c r="AI90" s="280">
        <f>F89*H89*13</f>
        <v>0</v>
      </c>
      <c r="AJ90" s="280">
        <f>F89*H89*13</f>
        <v>0</v>
      </c>
      <c r="AK90" s="280">
        <f>F89*H89*12</f>
        <v>0</v>
      </c>
      <c r="AL90" s="12"/>
      <c r="AM90" s="12"/>
      <c r="AN90" s="12"/>
      <c r="AO90" s="12"/>
      <c r="AP90" s="12"/>
      <c r="AQ90" s="12"/>
      <c r="AR90" s="12"/>
      <c r="AS90" s="12"/>
    </row>
    <row r="91" hidden="1">
      <c r="A91" s="16"/>
      <c r="B91" s="213" t="s">
        <v>434</v>
      </c>
      <c r="C91" s="170"/>
      <c r="D91" s="170" t="s">
        <v>132</v>
      </c>
      <c r="E91" s="170" t="s">
        <v>456</v>
      </c>
      <c r="F91" s="203">
        <f>AD2</f>
        <v>0</v>
      </c>
      <c r="G91" s="205">
        <f>F91*30*2</f>
        <v>0</v>
      </c>
      <c r="H91" s="173">
        <v>0.25</v>
      </c>
      <c r="I91" s="207">
        <f>G91*H91</f>
        <v>0</v>
      </c>
      <c r="J91" s="174" t="s">
        <v>15</v>
      </c>
      <c r="K91" s="264">
        <v>0.5</v>
      </c>
      <c r="L91" s="16"/>
      <c r="M91" s="16"/>
      <c r="N91" s="16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AF91" s="279">
        <f>I91*10%</f>
        <v>0</v>
      </c>
      <c r="AG91" s="279">
        <f>I91*10%</f>
        <v>0</v>
      </c>
      <c r="AH91" s="336">
        <f>I91*10%</f>
        <v>0</v>
      </c>
      <c r="AI91" s="336">
        <f>I91*15%</f>
        <v>0</v>
      </c>
      <c r="AJ91" s="336">
        <f>I91*55%</f>
        <v>0</v>
      </c>
      <c r="AK91" s="337"/>
      <c r="AL91" s="12"/>
      <c r="AM91" s="12"/>
      <c r="AN91" s="12"/>
      <c r="AO91" s="12"/>
      <c r="AP91" s="12"/>
      <c r="AQ91" s="12"/>
      <c r="AR91" s="12"/>
      <c r="AS91" s="12"/>
    </row>
    <row r="92" hidden="1">
      <c r="A92" s="16"/>
      <c r="B92" s="169"/>
      <c r="C92" s="170"/>
      <c r="D92" s="170"/>
      <c r="E92" s="170"/>
      <c r="F92" s="203">
        <f>AD2</f>
        <v>0</v>
      </c>
      <c r="G92" s="205"/>
      <c r="H92" s="173"/>
      <c r="I92" s="207"/>
      <c r="J92" s="174"/>
      <c r="K92" s="11"/>
      <c r="L92" s="16"/>
      <c r="M92" s="16"/>
      <c r="N92" s="16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AF92" s="280"/>
      <c r="AG92" s="280">
        <f>F91*H91*3.4</f>
        <v>0</v>
      </c>
      <c r="AH92" s="280"/>
      <c r="AI92" s="280">
        <f>F91*H91*13</f>
        <v>0</v>
      </c>
      <c r="AJ92" s="280">
        <f>F91*H91*13</f>
        <v>0</v>
      </c>
      <c r="AK92" s="280">
        <f>F91*H91*12</f>
        <v>0</v>
      </c>
      <c r="AL92" s="12"/>
      <c r="AM92" s="12"/>
      <c r="AN92" s="12"/>
      <c r="AO92" s="12"/>
      <c r="AP92" s="12"/>
      <c r="AQ92" s="12"/>
      <c r="AR92" s="12"/>
      <c r="AS92" s="12"/>
    </row>
    <row r="93" hidden="1">
      <c r="A93" s="47"/>
      <c r="B93" s="213" t="s">
        <v>452</v>
      </c>
      <c r="C93" s="170"/>
      <c r="D93" s="170" t="s">
        <v>457</v>
      </c>
      <c r="E93" s="170" t="s">
        <v>325</v>
      </c>
      <c r="F93" s="171">
        <f>AD2</f>
        <v>0</v>
      </c>
      <c r="G93" s="205">
        <f>F93*20</f>
        <v>0</v>
      </c>
      <c r="H93" s="173">
        <v>0.15</v>
      </c>
      <c r="I93" s="207">
        <f>G93*H93</f>
        <v>0</v>
      </c>
      <c r="J93" s="338" t="s">
        <v>15</v>
      </c>
      <c r="K93" s="277">
        <v>0.5</v>
      </c>
      <c r="L93" s="47"/>
      <c r="M93" s="47"/>
      <c r="N93" s="47"/>
      <c r="O93" s="55"/>
      <c r="P93" s="55"/>
      <c r="Q93" s="55"/>
      <c r="R93" s="55"/>
      <c r="S93" s="55"/>
      <c r="T93" s="55"/>
      <c r="U93" s="55"/>
      <c r="V93" s="55"/>
      <c r="W93" s="55"/>
      <c r="X93" s="55"/>
      <c r="AF93" s="35">
        <f>I93*10%</f>
        <v>0</v>
      </c>
      <c r="AG93" s="35">
        <f>I93*10%</f>
        <v>0</v>
      </c>
      <c r="AH93" s="317">
        <f>I93*10%</f>
        <v>0</v>
      </c>
      <c r="AI93" s="317">
        <f>I93*15%</f>
        <v>0</v>
      </c>
      <c r="AJ93" s="317">
        <f>I93*55%</f>
        <v>0</v>
      </c>
      <c r="AK93" s="90"/>
      <c r="AL93" s="55"/>
      <c r="AM93" s="55"/>
      <c r="AN93" s="55"/>
      <c r="AO93" s="55"/>
      <c r="AP93" s="55"/>
      <c r="AQ93" s="55"/>
      <c r="AR93" s="55"/>
      <c r="AS93" s="55"/>
    </row>
    <row r="94" hidden="1">
      <c r="A94" s="47"/>
      <c r="B94" s="169"/>
      <c r="C94" s="170"/>
      <c r="D94" s="170"/>
      <c r="E94" s="170"/>
      <c r="F94" s="216">
        <f>AD2</f>
        <v>0</v>
      </c>
      <c r="G94" s="205"/>
      <c r="H94" s="173"/>
      <c r="I94" s="207"/>
      <c r="J94" s="338"/>
      <c r="K94" s="102"/>
      <c r="L94" s="47"/>
      <c r="M94" s="47"/>
      <c r="N94" s="47"/>
      <c r="O94" s="55"/>
      <c r="P94" s="55"/>
      <c r="Q94" s="55"/>
      <c r="R94" s="55"/>
      <c r="S94" s="55"/>
      <c r="T94" s="55"/>
      <c r="U94" s="55"/>
      <c r="V94" s="55"/>
      <c r="W94" s="55"/>
      <c r="X94" s="55"/>
      <c r="AF94" s="168"/>
      <c r="AG94" s="168">
        <f>F93*H93*3.4</f>
        <v>0</v>
      </c>
      <c r="AH94" s="168"/>
      <c r="AI94" s="168">
        <f>F93*H93*13</f>
        <v>0</v>
      </c>
      <c r="AJ94" s="168">
        <f>F93*H93*13</f>
        <v>0</v>
      </c>
      <c r="AK94" s="168">
        <f>F93*H93*12</f>
        <v>0</v>
      </c>
      <c r="AL94" s="55"/>
      <c r="AM94" s="55"/>
      <c r="AN94" s="55"/>
      <c r="AO94" s="55"/>
      <c r="AP94" s="55"/>
      <c r="AQ94" s="55"/>
      <c r="AR94" s="55"/>
      <c r="AS94" s="55"/>
    </row>
    <row r="95" hidden="1">
      <c r="A95" s="16"/>
      <c r="B95" s="169" t="s">
        <v>452</v>
      </c>
      <c r="C95" s="170"/>
      <c r="D95" s="170" t="s">
        <v>458</v>
      </c>
      <c r="E95" s="170" t="s">
        <v>459</v>
      </c>
      <c r="F95" s="203">
        <v>0.0</v>
      </c>
      <c r="G95" s="365">
        <f>F95*600</f>
        <v>0</v>
      </c>
      <c r="H95" s="173">
        <v>0.05</v>
      </c>
      <c r="I95" s="170">
        <f>G95*H95</f>
        <v>0</v>
      </c>
      <c r="J95" s="338" t="s">
        <v>15</v>
      </c>
      <c r="K95" s="277">
        <v>0.5</v>
      </c>
      <c r="L95" s="16"/>
      <c r="M95" s="16"/>
      <c r="N95" s="16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AE95" s="32">
        <f>I95*10%</f>
        <v>0</v>
      </c>
      <c r="AF95" s="32">
        <f>I95*10%</f>
        <v>0</v>
      </c>
      <c r="AG95" s="90">
        <f>I95*10%</f>
        <v>0</v>
      </c>
      <c r="AH95" s="90">
        <f>I95*15%</f>
        <v>0</v>
      </c>
      <c r="AI95" s="366">
        <f>I95*55%</f>
        <v>0</v>
      </c>
      <c r="AJ95" s="366"/>
      <c r="AL95" s="12"/>
      <c r="AM95" s="12"/>
      <c r="AN95" s="12"/>
      <c r="AO95" s="12"/>
      <c r="AP95" s="12"/>
      <c r="AQ95" s="12"/>
      <c r="AR95" s="12"/>
      <c r="AS95" s="12"/>
    </row>
    <row r="96" hidden="1">
      <c r="A96" s="16"/>
      <c r="B96" s="367"/>
      <c r="C96" s="368"/>
      <c r="D96" s="368"/>
      <c r="E96" s="368"/>
      <c r="F96" s="178">
        <v>0.0</v>
      </c>
      <c r="G96" s="369"/>
      <c r="H96" s="370"/>
      <c r="I96" s="368"/>
      <c r="J96" s="371"/>
      <c r="K96" s="11"/>
      <c r="L96" s="16"/>
      <c r="M96" s="16"/>
      <c r="N96" s="16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AE96" s="168"/>
      <c r="AF96" s="168">
        <f>F95*H95*3.4</f>
        <v>0</v>
      </c>
      <c r="AG96" s="168"/>
      <c r="AH96" s="168">
        <f>F95*H95*13</f>
        <v>0</v>
      </c>
      <c r="AI96" s="168">
        <f>F95*H95*13</f>
        <v>0</v>
      </c>
      <c r="AJ96" s="168">
        <f>F95*H95*12</f>
        <v>0</v>
      </c>
      <c r="AK96" s="12"/>
      <c r="AL96" s="12"/>
      <c r="AM96" s="12"/>
      <c r="AN96" s="12"/>
      <c r="AO96" s="12"/>
      <c r="AP96" s="12"/>
      <c r="AQ96" s="12"/>
      <c r="AR96" s="12"/>
      <c r="AS96" s="12"/>
    </row>
    <row r="97" hidden="1">
      <c r="A97" s="16"/>
      <c r="B97" s="103" t="s">
        <v>460</v>
      </c>
      <c r="C97" s="104"/>
      <c r="D97" s="104" t="s">
        <v>461</v>
      </c>
      <c r="E97" s="104" t="s">
        <v>462</v>
      </c>
      <c r="F97" s="75">
        <v>0.0</v>
      </c>
      <c r="G97" s="227">
        <f>9*F97</f>
        <v>0</v>
      </c>
      <c r="H97" s="106">
        <v>0.9</v>
      </c>
      <c r="I97" s="228">
        <f>G97*H97</f>
        <v>0</v>
      </c>
      <c r="J97" s="107" t="s">
        <v>55</v>
      </c>
      <c r="K97" s="11"/>
      <c r="L97" s="16"/>
      <c r="M97" s="16"/>
      <c r="N97" s="16"/>
      <c r="O97" s="12"/>
      <c r="P97" s="12"/>
      <c r="Q97" s="12"/>
      <c r="R97" s="12"/>
      <c r="S97" s="12"/>
      <c r="T97" s="12"/>
      <c r="U97" s="12"/>
      <c r="V97" s="12"/>
      <c r="AE97" s="175">
        <f>I97*30%</f>
        <v>0</v>
      </c>
      <c r="AF97" s="175">
        <f>I97*70%</f>
        <v>0</v>
      </c>
      <c r="AP97" s="12"/>
      <c r="AQ97" s="12"/>
      <c r="AR97" s="12"/>
      <c r="AS97" s="12"/>
    </row>
    <row r="98" hidden="1">
      <c r="A98" s="16"/>
      <c r="B98" s="103"/>
      <c r="C98" s="104"/>
      <c r="D98" s="104"/>
      <c r="E98" s="104"/>
      <c r="F98" s="75">
        <v>0.0</v>
      </c>
      <c r="G98" s="227"/>
      <c r="H98" s="106"/>
      <c r="I98" s="228"/>
      <c r="J98" s="107"/>
      <c r="K98" s="11"/>
      <c r="L98" s="16"/>
      <c r="M98" s="16"/>
      <c r="N98" s="16"/>
      <c r="O98" s="12"/>
      <c r="P98" s="12"/>
      <c r="Q98" s="12"/>
      <c r="R98" s="12"/>
      <c r="S98" s="12"/>
      <c r="T98" s="12"/>
      <c r="U98" s="12"/>
      <c r="V98" s="12"/>
      <c r="AE98" s="113"/>
      <c r="AF98" s="113"/>
      <c r="AP98" s="12"/>
      <c r="AQ98" s="12"/>
      <c r="AR98" s="12"/>
      <c r="AS98" s="12"/>
    </row>
    <row r="99" hidden="1">
      <c r="A99" s="16"/>
      <c r="B99" s="169" t="s">
        <v>463</v>
      </c>
      <c r="C99" s="170">
        <v>1.0</v>
      </c>
      <c r="D99" s="170" t="s">
        <v>464</v>
      </c>
      <c r="E99" s="170" t="s">
        <v>465</v>
      </c>
      <c r="F99" s="203">
        <v>0.0</v>
      </c>
      <c r="G99" s="205">
        <f>F99*21</f>
        <v>0</v>
      </c>
      <c r="H99" s="173">
        <v>0.7</v>
      </c>
      <c r="I99" s="207">
        <f>G99*H99</f>
        <v>0</v>
      </c>
      <c r="J99" s="174" t="s">
        <v>55</v>
      </c>
      <c r="K99" s="11"/>
      <c r="L99" s="16"/>
      <c r="M99" s="16"/>
      <c r="N99" s="16"/>
      <c r="O99" s="12"/>
      <c r="P99" s="12"/>
      <c r="Q99" s="12"/>
      <c r="R99" s="12"/>
      <c r="S99" s="12"/>
      <c r="T99" s="12"/>
      <c r="U99" s="12"/>
      <c r="V99" s="12"/>
      <c r="AF99" s="175">
        <f>I99*20%</f>
        <v>0</v>
      </c>
      <c r="AG99" s="175">
        <f>I99*80%</f>
        <v>0</v>
      </c>
      <c r="AP99" s="12"/>
      <c r="AQ99" s="12"/>
      <c r="AR99" s="12"/>
      <c r="AS99" s="12"/>
    </row>
    <row r="100" hidden="1">
      <c r="A100" s="16"/>
      <c r="B100" s="169"/>
      <c r="C100" s="170"/>
      <c r="D100" s="170"/>
      <c r="E100" s="170"/>
      <c r="F100" s="178">
        <v>0.0</v>
      </c>
      <c r="G100" s="205"/>
      <c r="H100" s="173"/>
      <c r="I100" s="207"/>
      <c r="J100" s="174"/>
      <c r="K100" s="11"/>
      <c r="L100" s="16"/>
      <c r="M100" s="16"/>
      <c r="N100" s="16"/>
      <c r="O100" s="12"/>
      <c r="P100" s="12"/>
      <c r="Q100" s="12"/>
      <c r="R100" s="12"/>
      <c r="S100" s="12"/>
      <c r="T100" s="12"/>
      <c r="U100" s="12"/>
      <c r="V100" s="12"/>
      <c r="AF100" s="113"/>
      <c r="AG100" s="113"/>
      <c r="AP100" s="12"/>
      <c r="AQ100" s="12"/>
      <c r="AR100" s="12"/>
      <c r="AS100" s="12"/>
    </row>
    <row r="101" hidden="1">
      <c r="A101" s="16"/>
      <c r="B101" s="210" t="s">
        <v>460</v>
      </c>
      <c r="C101" s="170">
        <v>2.0</v>
      </c>
      <c r="D101" s="170" t="s">
        <v>338</v>
      </c>
      <c r="E101" s="170" t="s">
        <v>466</v>
      </c>
      <c r="F101" s="203">
        <v>0.0</v>
      </c>
      <c r="G101" s="205">
        <f>F101*150</f>
        <v>0</v>
      </c>
      <c r="H101" s="173">
        <v>1.0</v>
      </c>
      <c r="I101" s="207">
        <f>G101*H101</f>
        <v>0</v>
      </c>
      <c r="J101" s="174" t="s">
        <v>55</v>
      </c>
      <c r="K101" s="372" t="s">
        <v>75</v>
      </c>
      <c r="L101" s="16"/>
      <c r="M101" s="16"/>
      <c r="N101" s="16"/>
      <c r="O101" s="12"/>
      <c r="P101" s="12"/>
      <c r="Q101" s="12"/>
      <c r="R101" s="12"/>
      <c r="S101" s="12"/>
      <c r="T101" s="12"/>
      <c r="U101" s="12"/>
      <c r="V101" s="12"/>
      <c r="AM101" s="175">
        <f>I101*25%</f>
        <v>0</v>
      </c>
      <c r="AN101" s="175">
        <f>I101*10%</f>
        <v>0</v>
      </c>
      <c r="AO101" s="12"/>
      <c r="AP101" s="12"/>
      <c r="AQ101" s="12"/>
      <c r="AR101" s="12"/>
      <c r="AS101" s="12"/>
    </row>
    <row r="102" hidden="1">
      <c r="A102" s="16"/>
      <c r="B102" s="169"/>
      <c r="C102" s="170"/>
      <c r="D102" s="170"/>
      <c r="E102" s="170"/>
      <c r="F102" s="178">
        <v>0.0</v>
      </c>
      <c r="G102" s="205"/>
      <c r="H102" s="173"/>
      <c r="I102" s="207"/>
      <c r="J102" s="174"/>
      <c r="K102" s="11"/>
      <c r="L102" s="16"/>
      <c r="M102" s="16"/>
      <c r="N102" s="16"/>
      <c r="O102" s="12"/>
      <c r="P102" s="12"/>
      <c r="Q102" s="12"/>
      <c r="R102" s="12"/>
      <c r="S102" s="12"/>
      <c r="T102" s="12"/>
      <c r="U102" s="12"/>
      <c r="V102" s="12"/>
      <c r="AM102" s="373">
        <f>F101*H101*8.8*2</f>
        <v>0</v>
      </c>
      <c r="AN102" s="373">
        <f>F101*H101*11.3*2</f>
        <v>0</v>
      </c>
      <c r="AO102" s="12"/>
      <c r="AP102" s="12"/>
      <c r="AQ102" s="12"/>
      <c r="AR102" s="12"/>
      <c r="AS102" s="12"/>
    </row>
    <row r="103" hidden="1">
      <c r="A103" s="47"/>
      <c r="B103" s="103" t="s">
        <v>467</v>
      </c>
      <c r="C103" s="104">
        <v>1.0</v>
      </c>
      <c r="D103" s="104" t="s">
        <v>71</v>
      </c>
      <c r="E103" s="104" t="s">
        <v>468</v>
      </c>
      <c r="F103" s="60">
        <v>0.0</v>
      </c>
      <c r="G103" s="227">
        <f>F103*121</f>
        <v>0</v>
      </c>
      <c r="H103" s="106">
        <v>0.9</v>
      </c>
      <c r="I103" s="228">
        <f>G103*H103</f>
        <v>0</v>
      </c>
      <c r="J103" s="107" t="s">
        <v>55</v>
      </c>
      <c r="K103" s="11"/>
      <c r="L103" s="47"/>
      <c r="M103" s="47"/>
      <c r="N103" s="47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AF103" s="175">
        <f>I103*20%</f>
        <v>0</v>
      </c>
      <c r="AG103" s="175">
        <f>I103*10%</f>
        <v>0</v>
      </c>
      <c r="AI103" s="175">
        <f>I103*15%</f>
        <v>0</v>
      </c>
      <c r="AK103" s="175">
        <f>I103*40%</f>
        <v>0</v>
      </c>
      <c r="AL103" s="175">
        <f>I103*15%</f>
        <v>0</v>
      </c>
      <c r="AM103" s="175"/>
      <c r="AQ103" s="55"/>
      <c r="AR103" s="55"/>
      <c r="AS103" s="12"/>
    </row>
    <row r="104" hidden="1">
      <c r="A104" s="47"/>
      <c r="B104" s="103"/>
      <c r="C104" s="104"/>
      <c r="D104" s="104"/>
      <c r="E104" s="104"/>
      <c r="F104" s="75">
        <v>0.0</v>
      </c>
      <c r="G104" s="227"/>
      <c r="H104" s="106"/>
      <c r="I104" s="228"/>
      <c r="J104" s="374"/>
      <c r="K104" s="11"/>
      <c r="L104" s="47"/>
      <c r="M104" s="47"/>
      <c r="N104" s="47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AE104" s="113"/>
      <c r="AF104" s="113">
        <f>F103*H103*0.8</f>
        <v>0</v>
      </c>
      <c r="AG104" s="113">
        <f>F103*H103*6.4</f>
        <v>0</v>
      </c>
      <c r="AI104" s="113">
        <f>F103*H103*16.7</f>
        <v>0</v>
      </c>
      <c r="AK104" s="113">
        <f>F103*H103*16.9</f>
        <v>0</v>
      </c>
      <c r="AL104" s="113">
        <f>F103*H103*4.8</f>
        <v>0</v>
      </c>
      <c r="AM104" s="113">
        <f>F103*H103*8.3</f>
        <v>0</v>
      </c>
      <c r="AQ104" s="55"/>
      <c r="AR104" s="55"/>
      <c r="AS104" s="12"/>
    </row>
    <row r="105" hidden="1">
      <c r="A105" s="16"/>
      <c r="B105" s="103" t="s">
        <v>460</v>
      </c>
      <c r="C105" s="104"/>
      <c r="D105" s="104" t="s">
        <v>43</v>
      </c>
      <c r="E105" s="104" t="s">
        <v>469</v>
      </c>
      <c r="F105" s="75">
        <v>0.0</v>
      </c>
      <c r="G105" s="227">
        <f>F105*8</f>
        <v>0</v>
      </c>
      <c r="H105" s="106">
        <v>0.5</v>
      </c>
      <c r="I105" s="228">
        <f>G105*H105</f>
        <v>0</v>
      </c>
      <c r="J105" s="107" t="s">
        <v>310</v>
      </c>
      <c r="K105" s="102"/>
      <c r="L105" s="16"/>
      <c r="M105" s="16"/>
      <c r="N105" s="16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AF105" s="35">
        <f>I105*10%</f>
        <v>0</v>
      </c>
      <c r="AK105" s="35">
        <f>I105*10%</f>
        <v>0</v>
      </c>
      <c r="AL105" s="317">
        <f>I105*10%</f>
        <v>0</v>
      </c>
      <c r="AM105" s="317">
        <f>I105*15%</f>
        <v>0</v>
      </c>
      <c r="AN105" s="317">
        <f>I105*55%</f>
        <v>0</v>
      </c>
      <c r="AO105" s="90"/>
      <c r="AQ105" s="12"/>
      <c r="AR105" s="12"/>
      <c r="AS105" s="12"/>
    </row>
    <row r="106" hidden="1">
      <c r="A106" s="16"/>
      <c r="B106" s="103"/>
      <c r="C106" s="104"/>
      <c r="D106" s="104"/>
      <c r="E106" s="104"/>
      <c r="F106" s="75">
        <v>0.0</v>
      </c>
      <c r="G106" s="227"/>
      <c r="H106" s="106"/>
      <c r="I106" s="228"/>
      <c r="J106" s="107"/>
      <c r="K106" s="102"/>
      <c r="L106" s="16"/>
      <c r="M106" s="16"/>
      <c r="N106" s="16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AF106" s="168"/>
      <c r="AK106" s="168">
        <f>F105*H105*3.4</f>
        <v>0</v>
      </c>
      <c r="AL106" s="168"/>
      <c r="AM106" s="168">
        <f>F105*H105*13</f>
        <v>0</v>
      </c>
      <c r="AN106" s="168">
        <f>F105*H105*13</f>
        <v>0</v>
      </c>
      <c r="AO106" s="168">
        <f>F105*H105*12</f>
        <v>0</v>
      </c>
      <c r="AQ106" s="12"/>
      <c r="AR106" s="12"/>
      <c r="AS106" s="12"/>
    </row>
    <row r="107" hidden="1">
      <c r="A107" s="47"/>
      <c r="B107" s="103" t="s">
        <v>452</v>
      </c>
      <c r="C107" s="104">
        <v>3.0</v>
      </c>
      <c r="D107" s="104" t="s">
        <v>470</v>
      </c>
      <c r="E107" s="104" t="s">
        <v>471</v>
      </c>
      <c r="F107" s="75">
        <v>0.0</v>
      </c>
      <c r="G107" s="227">
        <f>F107*28.5</f>
        <v>0</v>
      </c>
      <c r="H107" s="106">
        <v>1.0</v>
      </c>
      <c r="I107" s="228">
        <f>G107*H107</f>
        <v>0</v>
      </c>
      <c r="J107" s="374" t="s">
        <v>55</v>
      </c>
      <c r="K107" s="11"/>
      <c r="L107" s="47"/>
      <c r="M107" s="47"/>
      <c r="N107" s="47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AB107" s="35">
        <f>I107*20%</f>
        <v>0</v>
      </c>
      <c r="AC107" s="35">
        <f>I107*25%</f>
        <v>0</v>
      </c>
      <c r="AD107" s="35"/>
      <c r="AE107" s="35">
        <f>I107*50%</f>
        <v>0</v>
      </c>
      <c r="AF107" s="35">
        <f>I107*5%</f>
        <v>0</v>
      </c>
      <c r="AG107" s="35"/>
      <c r="AP107" s="55"/>
      <c r="AQ107" s="55"/>
      <c r="AR107" s="55"/>
      <c r="AS107" s="55"/>
    </row>
    <row r="108" hidden="1">
      <c r="A108" s="47"/>
      <c r="B108" s="103"/>
      <c r="C108" s="104"/>
      <c r="D108" s="104"/>
      <c r="E108" s="104"/>
      <c r="F108" s="75">
        <v>0.0</v>
      </c>
      <c r="G108" s="227"/>
      <c r="H108" s="106"/>
      <c r="I108" s="228"/>
      <c r="J108" s="374"/>
      <c r="K108" s="11"/>
      <c r="L108" s="47"/>
      <c r="M108" s="47"/>
      <c r="N108" s="47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AB108" s="168"/>
      <c r="AC108" s="168"/>
      <c r="AD108" s="168">
        <f>F107*H107*1.4</f>
        <v>0</v>
      </c>
      <c r="AE108" s="168">
        <f>F107*H107*4.3</f>
        <v>0</v>
      </c>
      <c r="AF108" s="168">
        <f>F107*H107*4.3</f>
        <v>0</v>
      </c>
      <c r="AG108" s="168">
        <f>F107*H107*4.5</f>
        <v>0</v>
      </c>
      <c r="AP108" s="55"/>
      <c r="AQ108" s="55"/>
      <c r="AR108" s="55"/>
      <c r="AS108" s="55"/>
    </row>
    <row r="109" hidden="1">
      <c r="A109" s="47"/>
      <c r="B109" s="103" t="s">
        <v>452</v>
      </c>
      <c r="C109" s="104">
        <v>4.0</v>
      </c>
      <c r="D109" s="104" t="s">
        <v>470</v>
      </c>
      <c r="E109" s="104" t="s">
        <v>472</v>
      </c>
      <c r="F109" s="75">
        <v>0.0</v>
      </c>
      <c r="G109" s="227">
        <f>F109*28.5</f>
        <v>0</v>
      </c>
      <c r="H109" s="106">
        <v>1.0</v>
      </c>
      <c r="I109" s="228">
        <f>G109*H109</f>
        <v>0</v>
      </c>
      <c r="J109" s="374" t="s">
        <v>55</v>
      </c>
      <c r="K109" s="11"/>
      <c r="L109" s="47"/>
      <c r="M109" s="47"/>
      <c r="N109" s="47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AB109" s="35">
        <f>I109*20%</f>
        <v>0</v>
      </c>
      <c r="AC109" s="35">
        <f>I109*25%</f>
        <v>0</v>
      </c>
      <c r="AD109" s="35"/>
      <c r="AE109" s="35">
        <f>I109*50%</f>
        <v>0</v>
      </c>
      <c r="AF109" s="35">
        <f>I109*5%</f>
        <v>0</v>
      </c>
      <c r="AG109" s="35"/>
      <c r="AP109" s="55"/>
      <c r="AQ109" s="55"/>
      <c r="AR109" s="55"/>
      <c r="AS109" s="55"/>
    </row>
    <row r="110" hidden="1">
      <c r="A110" s="47"/>
      <c r="B110" s="103"/>
      <c r="C110" s="104"/>
      <c r="D110" s="104"/>
      <c r="E110" s="104"/>
      <c r="F110" s="75">
        <v>0.0</v>
      </c>
      <c r="G110" s="227"/>
      <c r="H110" s="106"/>
      <c r="I110" s="228"/>
      <c r="J110" s="374"/>
      <c r="K110" s="11"/>
      <c r="L110" s="47"/>
      <c r="M110" s="47"/>
      <c r="N110" s="47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AB110" s="168"/>
      <c r="AC110" s="168"/>
      <c r="AD110" s="168">
        <f>F109*H109*1.4</f>
        <v>0</v>
      </c>
      <c r="AE110" s="168">
        <f>F109*H109*4.3</f>
        <v>0</v>
      </c>
      <c r="AF110" s="168">
        <f>F109*H109*4.3</f>
        <v>0</v>
      </c>
      <c r="AG110" s="168">
        <f>F109*H109*4.5</f>
        <v>0</v>
      </c>
      <c r="AP110" s="55"/>
      <c r="AQ110" s="55"/>
      <c r="AR110" s="55"/>
      <c r="AS110" s="55"/>
    </row>
    <row r="111" hidden="1">
      <c r="A111" s="47"/>
      <c r="B111" s="169" t="s">
        <v>460</v>
      </c>
      <c r="C111" s="170"/>
      <c r="D111" s="170" t="s">
        <v>51</v>
      </c>
      <c r="E111" s="170" t="s">
        <v>473</v>
      </c>
      <c r="F111" s="171">
        <v>0.0</v>
      </c>
      <c r="G111" s="205">
        <f>F111*35</f>
        <v>0</v>
      </c>
      <c r="H111" s="173">
        <v>0.5</v>
      </c>
      <c r="I111" s="207">
        <f>G111*H111</f>
        <v>0</v>
      </c>
      <c r="J111" s="174" t="s">
        <v>134</v>
      </c>
      <c r="K111" s="11"/>
      <c r="L111" s="47"/>
      <c r="M111" s="47"/>
      <c r="N111" s="47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F111" s="175">
        <f>I111*20%</f>
        <v>0</v>
      </c>
      <c r="AG111" s="175">
        <f>I111*25%</f>
        <v>0</v>
      </c>
      <c r="AH111" s="175"/>
      <c r="AI111" s="175"/>
      <c r="AJ111" s="175">
        <f>I111*50%</f>
        <v>0</v>
      </c>
      <c r="AK111" s="175">
        <f>I111*5%</f>
        <v>0</v>
      </c>
      <c r="AL111" s="175"/>
      <c r="AM111" s="55"/>
      <c r="AN111" s="55"/>
      <c r="AO111" s="55"/>
      <c r="AP111" s="55"/>
      <c r="AQ111" s="55"/>
      <c r="AR111" s="55"/>
      <c r="AS111" s="55"/>
    </row>
    <row r="112" hidden="1">
      <c r="A112" s="47"/>
      <c r="B112" s="169"/>
      <c r="C112" s="170"/>
      <c r="D112" s="170"/>
      <c r="E112" s="170"/>
      <c r="F112" s="318">
        <v>0.0</v>
      </c>
      <c r="G112" s="205"/>
      <c r="H112" s="173"/>
      <c r="I112" s="207"/>
      <c r="J112" s="338"/>
      <c r="K112" s="11"/>
      <c r="L112" s="47"/>
      <c r="M112" s="47"/>
      <c r="N112" s="47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F112" s="179"/>
      <c r="AG112" s="179"/>
      <c r="AH112" s="180"/>
      <c r="AI112" s="180">
        <f>F111*H111*9.5</f>
        <v>0</v>
      </c>
      <c r="AJ112" s="181">
        <f>F111*H111*2.4</f>
        <v>0</v>
      </c>
      <c r="AK112" s="181">
        <f>F111*H111*1</f>
        <v>0</v>
      </c>
      <c r="AL112" s="181">
        <f>F111*H111*2</f>
        <v>0</v>
      </c>
      <c r="AM112" s="55"/>
      <c r="AN112" s="55"/>
      <c r="AO112" s="55"/>
      <c r="AP112" s="55"/>
      <c r="AQ112" s="55"/>
      <c r="AR112" s="55"/>
      <c r="AS112" s="55"/>
    </row>
    <row r="113" hidden="1">
      <c r="A113" s="16"/>
      <c r="B113" s="103" t="s">
        <v>467</v>
      </c>
      <c r="C113" s="104">
        <v>3.0</v>
      </c>
      <c r="D113" s="104" t="s">
        <v>407</v>
      </c>
      <c r="E113" s="104" t="s">
        <v>474</v>
      </c>
      <c r="F113" s="75">
        <v>0.0</v>
      </c>
      <c r="G113" s="227">
        <f>F113*76</f>
        <v>0</v>
      </c>
      <c r="H113" s="106">
        <v>0.7</v>
      </c>
      <c r="I113" s="228">
        <f>G113*H113</f>
        <v>0</v>
      </c>
      <c r="J113" s="107" t="s">
        <v>55</v>
      </c>
      <c r="K113" s="11"/>
      <c r="L113" s="16"/>
      <c r="M113" s="16"/>
      <c r="N113" s="16"/>
      <c r="O113" s="12"/>
      <c r="P113" s="12"/>
      <c r="Q113" s="12"/>
      <c r="R113" s="12"/>
      <c r="S113" s="12"/>
      <c r="T113" s="12"/>
      <c r="U113" s="12"/>
      <c r="V113" s="12"/>
      <c r="AG113" s="175">
        <f>I113*15%*20%+I113*7.8%</f>
        <v>0</v>
      </c>
      <c r="AI113" s="175">
        <f>I113*25%*20%+I113*29%</f>
        <v>0</v>
      </c>
      <c r="AK113" s="175">
        <f>I113*40%*20%+I113*43%</f>
        <v>0</v>
      </c>
      <c r="AL113" s="175">
        <f>I113*15%*20%</f>
        <v>0</v>
      </c>
      <c r="AM113" s="175">
        <f>I113*5%*20%</f>
        <v>0</v>
      </c>
      <c r="AP113" s="12"/>
      <c r="AQ113" s="12"/>
      <c r="AR113" s="12"/>
      <c r="AS113" s="12"/>
    </row>
    <row r="114" hidden="1">
      <c r="A114" s="16"/>
      <c r="B114" s="103"/>
      <c r="C114" s="104"/>
      <c r="D114" s="104"/>
      <c r="E114" s="104"/>
      <c r="F114" s="75">
        <v>0.0</v>
      </c>
      <c r="G114" s="227"/>
      <c r="H114" s="106"/>
      <c r="I114" s="228"/>
      <c r="J114" s="107"/>
      <c r="K114" s="11"/>
      <c r="L114" s="16"/>
      <c r="M114" s="16"/>
      <c r="N114" s="16"/>
      <c r="O114" s="12"/>
      <c r="P114" s="12"/>
      <c r="Q114" s="12"/>
      <c r="R114" s="12"/>
      <c r="S114" s="12"/>
      <c r="T114" s="12"/>
      <c r="U114" s="12"/>
      <c r="V114" s="12"/>
      <c r="AB114" s="375"/>
      <c r="AG114" s="113"/>
      <c r="AI114" s="113">
        <f>F113*H113*4</f>
        <v>0</v>
      </c>
      <c r="AK114" s="113"/>
      <c r="AL114" s="113">
        <f>F113*H113*34</f>
        <v>0</v>
      </c>
      <c r="AM114" s="113">
        <f>F113*H113*9</f>
        <v>0</v>
      </c>
      <c r="AP114" s="12"/>
      <c r="AQ114" s="12"/>
      <c r="AR114" s="12"/>
      <c r="AS114" s="12"/>
    </row>
    <row r="115" hidden="1">
      <c r="A115" s="16"/>
      <c r="B115" s="169">
        <v>2026.0</v>
      </c>
      <c r="C115" s="170"/>
      <c r="D115" s="170" t="s">
        <v>71</v>
      </c>
      <c r="E115" s="170" t="s">
        <v>475</v>
      </c>
      <c r="F115" s="203">
        <v>0.0</v>
      </c>
      <c r="G115" s="205">
        <f>F115*175</f>
        <v>0</v>
      </c>
      <c r="H115" s="173">
        <v>0.25</v>
      </c>
      <c r="I115" s="207">
        <f>G115*H115</f>
        <v>0</v>
      </c>
      <c r="J115" s="174" t="s">
        <v>80</v>
      </c>
      <c r="K115" s="102"/>
      <c r="L115" s="16"/>
      <c r="M115" s="16"/>
      <c r="N115" s="16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AF115" s="279">
        <f>I115*10%</f>
        <v>0</v>
      </c>
      <c r="AM115" s="279">
        <f>I115*10%</f>
        <v>0</v>
      </c>
      <c r="AN115" s="336">
        <f>I115*55%</f>
        <v>0</v>
      </c>
      <c r="AO115" s="337"/>
      <c r="AQ115" s="12"/>
      <c r="AR115" s="12"/>
      <c r="AS115" s="12"/>
    </row>
    <row r="116" hidden="1">
      <c r="A116" s="16"/>
      <c r="B116" s="169"/>
      <c r="C116" s="170"/>
      <c r="D116" s="170"/>
      <c r="E116" s="170"/>
      <c r="F116" s="203">
        <v>0.0</v>
      </c>
      <c r="G116" s="205"/>
      <c r="H116" s="173"/>
      <c r="I116" s="207"/>
      <c r="J116" s="174"/>
      <c r="K116" s="102"/>
      <c r="L116" s="16"/>
      <c r="M116" s="16"/>
      <c r="N116" s="16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AF116" s="280"/>
      <c r="AM116" s="280">
        <f>F115*H115*3.4</f>
        <v>0</v>
      </c>
      <c r="AN116" s="280">
        <f>F115*H115*13</f>
        <v>0</v>
      </c>
      <c r="AO116" s="280">
        <f>F115*H115*12</f>
        <v>0</v>
      </c>
      <c r="AQ116" s="12"/>
      <c r="AR116" s="12"/>
      <c r="AS116" s="12"/>
    </row>
    <row r="117" hidden="1">
      <c r="A117" s="16"/>
      <c r="B117" s="169" t="s">
        <v>460</v>
      </c>
      <c r="C117" s="170"/>
      <c r="D117" s="170" t="s">
        <v>458</v>
      </c>
      <c r="E117" s="170" t="s">
        <v>476</v>
      </c>
      <c r="F117" s="203">
        <v>0.0</v>
      </c>
      <c r="G117" s="365">
        <f>1200*F117</f>
        <v>0</v>
      </c>
      <c r="H117" s="173">
        <v>0.05</v>
      </c>
      <c r="I117" s="170">
        <f>G117*H117</f>
        <v>0</v>
      </c>
      <c r="J117" s="174" t="s">
        <v>80</v>
      </c>
      <c r="K117" s="264">
        <v>0.5</v>
      </c>
      <c r="L117" s="16"/>
      <c r="M117" s="16"/>
      <c r="N117" s="16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AN117" s="12"/>
      <c r="AO117" s="12"/>
      <c r="AQ117" s="12"/>
      <c r="AR117" s="12"/>
      <c r="AS117" s="12"/>
    </row>
    <row r="118" hidden="1">
      <c r="A118" s="16"/>
      <c r="B118" s="169"/>
      <c r="C118" s="170"/>
      <c r="D118" s="170"/>
      <c r="E118" s="170"/>
      <c r="F118" s="203">
        <v>0.0</v>
      </c>
      <c r="G118" s="172"/>
      <c r="H118" s="173"/>
      <c r="I118" s="170"/>
      <c r="J118" s="174"/>
      <c r="K118" s="11"/>
      <c r="L118" s="16"/>
      <c r="M118" s="16"/>
      <c r="N118" s="16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AN118" s="12"/>
      <c r="AO118" s="12"/>
      <c r="AQ118" s="12"/>
      <c r="AR118" s="12"/>
      <c r="AS118" s="12"/>
    </row>
    <row r="119" hidden="1">
      <c r="A119" s="16"/>
      <c r="B119" s="213" t="s">
        <v>460</v>
      </c>
      <c r="C119" s="170"/>
      <c r="D119" s="170" t="s">
        <v>477</v>
      </c>
      <c r="E119" s="170" t="s">
        <v>233</v>
      </c>
      <c r="F119" s="203">
        <f>AD2</f>
        <v>0</v>
      </c>
      <c r="G119" s="205">
        <f>F119*2</f>
        <v>0</v>
      </c>
      <c r="H119" s="173">
        <v>0.45</v>
      </c>
      <c r="I119" s="207">
        <f>G119*H119</f>
        <v>0</v>
      </c>
      <c r="J119" s="174" t="s">
        <v>15</v>
      </c>
      <c r="K119" s="264">
        <v>0.5</v>
      </c>
      <c r="L119" s="16"/>
      <c r="M119" s="16"/>
      <c r="N119" s="16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AM119" s="279">
        <f>I119*10%</f>
        <v>0</v>
      </c>
      <c r="AN119" s="336">
        <f>I119*15%</f>
        <v>0</v>
      </c>
      <c r="AO119" s="336">
        <f>I119*55%</f>
        <v>0</v>
      </c>
      <c r="AQ119" s="12"/>
      <c r="AR119" s="12"/>
      <c r="AS119" s="12"/>
    </row>
    <row r="120" hidden="1">
      <c r="A120" s="16"/>
      <c r="B120" s="169"/>
      <c r="C120" s="170"/>
      <c r="D120" s="170"/>
      <c r="E120" s="170"/>
      <c r="F120" s="203">
        <f>AD2</f>
        <v>0</v>
      </c>
      <c r="G120" s="205"/>
      <c r="H120" s="173"/>
      <c r="I120" s="207"/>
      <c r="J120" s="174"/>
      <c r="K120" s="11"/>
      <c r="L120" s="16"/>
      <c r="M120" s="16"/>
      <c r="N120" s="16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AM120" s="280"/>
      <c r="AN120" s="280">
        <f>F119*H119*13</f>
        <v>0</v>
      </c>
      <c r="AO120" s="280">
        <f>F119*H119*13</f>
        <v>0</v>
      </c>
      <c r="AQ120" s="12"/>
      <c r="AR120" s="12"/>
      <c r="AS120" s="12"/>
    </row>
    <row r="121" hidden="1">
      <c r="A121" s="16"/>
      <c r="B121" s="213" t="s">
        <v>460</v>
      </c>
      <c r="C121" s="170"/>
      <c r="D121" s="170" t="s">
        <v>478</v>
      </c>
      <c r="E121" s="170" t="s">
        <v>479</v>
      </c>
      <c r="F121" s="203">
        <f>AD2</f>
        <v>0</v>
      </c>
      <c r="G121" s="205">
        <f>F121*12</f>
        <v>0</v>
      </c>
      <c r="H121" s="173">
        <v>0.35</v>
      </c>
      <c r="I121" s="207">
        <f>G121*H121</f>
        <v>0</v>
      </c>
      <c r="J121" s="174" t="s">
        <v>15</v>
      </c>
      <c r="K121" s="264">
        <v>0.5</v>
      </c>
      <c r="L121" s="16"/>
      <c r="M121" s="16"/>
      <c r="N121" s="16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AM121" s="279">
        <f>I121*10%</f>
        <v>0</v>
      </c>
      <c r="AN121" s="336">
        <f>I121*15%</f>
        <v>0</v>
      </c>
      <c r="AO121" s="336">
        <f>I121*55%</f>
        <v>0</v>
      </c>
      <c r="AQ121" s="12"/>
      <c r="AR121" s="12"/>
      <c r="AS121" s="12"/>
    </row>
    <row r="122" hidden="1">
      <c r="A122" s="16"/>
      <c r="B122" s="169"/>
      <c r="C122" s="170"/>
      <c r="D122" s="170"/>
      <c r="E122" s="170"/>
      <c r="F122" s="203">
        <f>AD2</f>
        <v>0</v>
      </c>
      <c r="G122" s="205"/>
      <c r="H122" s="173"/>
      <c r="I122" s="207"/>
      <c r="J122" s="174"/>
      <c r="K122" s="11"/>
      <c r="L122" s="16"/>
      <c r="M122" s="16"/>
      <c r="N122" s="16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AM122" s="280"/>
      <c r="AN122" s="280">
        <f>F121*H121*13</f>
        <v>0</v>
      </c>
      <c r="AO122" s="280">
        <f>F121*H121*13</f>
        <v>0</v>
      </c>
      <c r="AQ122" s="12"/>
      <c r="AR122" s="12"/>
      <c r="AS122" s="12"/>
    </row>
    <row r="123" hidden="1">
      <c r="A123" s="16"/>
      <c r="B123" s="213" t="s">
        <v>460</v>
      </c>
      <c r="C123" s="170"/>
      <c r="D123" s="170" t="s">
        <v>478</v>
      </c>
      <c r="E123" s="170" t="s">
        <v>480</v>
      </c>
      <c r="F123" s="203">
        <f>AD2</f>
        <v>0</v>
      </c>
      <c r="G123" s="205">
        <f>F123*15</f>
        <v>0</v>
      </c>
      <c r="H123" s="173">
        <v>0.15</v>
      </c>
      <c r="I123" s="207">
        <f>G123*H123</f>
        <v>0</v>
      </c>
      <c r="J123" s="174" t="s">
        <v>15</v>
      </c>
      <c r="K123" s="264">
        <v>0.5</v>
      </c>
      <c r="L123" s="16"/>
      <c r="M123" s="16"/>
      <c r="N123" s="16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AM123" s="279">
        <f>I123*10%</f>
        <v>0</v>
      </c>
      <c r="AN123" s="336">
        <f>I123*15%</f>
        <v>0</v>
      </c>
      <c r="AO123" s="336">
        <f>I123*55%</f>
        <v>0</v>
      </c>
      <c r="AQ123" s="12"/>
      <c r="AR123" s="12"/>
      <c r="AS123" s="12"/>
    </row>
    <row r="124" hidden="1">
      <c r="A124" s="16"/>
      <c r="B124" s="169"/>
      <c r="C124" s="170"/>
      <c r="D124" s="170"/>
      <c r="E124" s="170"/>
      <c r="F124" s="203">
        <f>AD2</f>
        <v>0</v>
      </c>
      <c r="G124" s="205"/>
      <c r="H124" s="173"/>
      <c r="I124" s="207"/>
      <c r="J124" s="174"/>
      <c r="K124" s="11"/>
      <c r="L124" s="16"/>
      <c r="M124" s="16"/>
      <c r="N124" s="16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AM124" s="280"/>
      <c r="AN124" s="280">
        <f>F123*H123*13</f>
        <v>0</v>
      </c>
      <c r="AO124" s="280">
        <f>F123*H123*13</f>
        <v>0</v>
      </c>
      <c r="AQ124" s="12"/>
      <c r="AR124" s="12"/>
      <c r="AS124" s="12"/>
    </row>
    <row r="125" hidden="1">
      <c r="A125" s="16"/>
      <c r="B125" s="213" t="s">
        <v>460</v>
      </c>
      <c r="C125" s="170"/>
      <c r="D125" s="170" t="s">
        <v>481</v>
      </c>
      <c r="E125" s="170" t="s">
        <v>482</v>
      </c>
      <c r="F125" s="203">
        <f>AD2</f>
        <v>0</v>
      </c>
      <c r="G125" s="205">
        <f>F125*17</f>
        <v>0</v>
      </c>
      <c r="H125" s="173">
        <v>0.15</v>
      </c>
      <c r="I125" s="207">
        <f>G125*H125</f>
        <v>0</v>
      </c>
      <c r="J125" s="174" t="s">
        <v>15</v>
      </c>
      <c r="K125" s="264">
        <v>0.5</v>
      </c>
      <c r="L125" s="16"/>
      <c r="M125" s="16"/>
      <c r="N125" s="16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AM125" s="279">
        <f>I125*10%</f>
        <v>0</v>
      </c>
      <c r="AN125" s="336">
        <f>I125*15%</f>
        <v>0</v>
      </c>
      <c r="AO125" s="336">
        <f>I125*55%</f>
        <v>0</v>
      </c>
      <c r="AQ125" s="12"/>
      <c r="AR125" s="12"/>
      <c r="AS125" s="12"/>
    </row>
    <row r="126" hidden="1">
      <c r="A126" s="16"/>
      <c r="B126" s="169"/>
      <c r="C126" s="170"/>
      <c r="D126" s="170"/>
      <c r="E126" s="170"/>
      <c r="F126" s="203">
        <f>AD2</f>
        <v>0</v>
      </c>
      <c r="G126" s="205"/>
      <c r="H126" s="173"/>
      <c r="I126" s="207"/>
      <c r="J126" s="174"/>
      <c r="K126" s="11"/>
      <c r="L126" s="16"/>
      <c r="M126" s="16"/>
      <c r="N126" s="16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AM126" s="280"/>
      <c r="AN126" s="280">
        <f>F125*H125*13</f>
        <v>0</v>
      </c>
      <c r="AO126" s="280">
        <f>F125*H125*13</f>
        <v>0</v>
      </c>
      <c r="AQ126" s="12"/>
      <c r="AR126" s="12"/>
      <c r="AS126" s="12"/>
    </row>
    <row r="127" hidden="1">
      <c r="A127" s="16"/>
      <c r="B127" s="169" t="s">
        <v>463</v>
      </c>
      <c r="C127" s="170"/>
      <c r="D127" s="170" t="s">
        <v>485</v>
      </c>
      <c r="E127" s="170" t="s">
        <v>486</v>
      </c>
      <c r="F127" s="203">
        <v>0.0</v>
      </c>
      <c r="G127" s="205">
        <f>F127*33</f>
        <v>0</v>
      </c>
      <c r="H127" s="173">
        <v>0.9</v>
      </c>
      <c r="I127" s="207">
        <f>G127*H127</f>
        <v>0</v>
      </c>
      <c r="J127" s="174" t="s">
        <v>55</v>
      </c>
      <c r="K127" s="102" t="s">
        <v>487</v>
      </c>
      <c r="L127" s="16"/>
      <c r="M127" s="16"/>
      <c r="N127" s="16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AQ127" s="12"/>
      <c r="AR127" s="12"/>
      <c r="AS127" s="12"/>
    </row>
    <row r="128" hidden="1">
      <c r="A128" s="16"/>
      <c r="B128" s="169"/>
      <c r="C128" s="170"/>
      <c r="D128" s="170"/>
      <c r="E128" s="170"/>
      <c r="F128" s="203">
        <v>0.0</v>
      </c>
      <c r="G128" s="205"/>
      <c r="H128" s="173"/>
      <c r="I128" s="207"/>
      <c r="J128" s="174"/>
      <c r="K128" s="102"/>
      <c r="L128" s="16"/>
      <c r="M128" s="16"/>
      <c r="N128" s="16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AQ128" s="12"/>
      <c r="AR128" s="12"/>
      <c r="AS128" s="12"/>
    </row>
    <row r="129" hidden="1">
      <c r="A129" s="16"/>
      <c r="B129" s="319" t="s">
        <v>460</v>
      </c>
      <c r="C129" s="320"/>
      <c r="D129" s="320" t="s">
        <v>494</v>
      </c>
      <c r="E129" s="320" t="s">
        <v>495</v>
      </c>
      <c r="F129" s="252">
        <v>0.0</v>
      </c>
      <c r="G129" s="323">
        <f>F129*57</f>
        <v>0</v>
      </c>
      <c r="H129" s="324">
        <v>0.3</v>
      </c>
      <c r="I129" s="207">
        <f>G129*H129</f>
        <v>0</v>
      </c>
      <c r="J129" s="326" t="s">
        <v>55</v>
      </c>
      <c r="K129" s="102" t="s">
        <v>75</v>
      </c>
      <c r="L129" s="16"/>
      <c r="M129" s="16"/>
      <c r="N129" s="16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AF129" s="35">
        <f>I129*10%</f>
        <v>0</v>
      </c>
      <c r="AM129" s="35">
        <f>I129*10%</f>
        <v>0</v>
      </c>
      <c r="AN129" s="317">
        <f>I129*55%</f>
        <v>0</v>
      </c>
      <c r="AO129" s="90"/>
      <c r="AQ129" s="12"/>
      <c r="AR129" s="12"/>
      <c r="AS129" s="12"/>
    </row>
    <row r="130" hidden="1">
      <c r="A130" s="16"/>
      <c r="B130" s="319"/>
      <c r="C130" s="320"/>
      <c r="D130" s="320"/>
      <c r="E130" s="320"/>
      <c r="F130" s="252">
        <v>0.0</v>
      </c>
      <c r="G130" s="323"/>
      <c r="H130" s="324"/>
      <c r="I130" s="325"/>
      <c r="J130" s="326"/>
      <c r="K130" s="102"/>
      <c r="L130" s="16"/>
      <c r="M130" s="16"/>
      <c r="N130" s="16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AF130" s="168"/>
      <c r="AM130" s="168">
        <f>F129*H129*3.4</f>
        <v>0</v>
      </c>
      <c r="AN130" s="168">
        <f>F129*H129*13</f>
        <v>0</v>
      </c>
      <c r="AO130" s="168">
        <f>F129*H129*12</f>
        <v>0</v>
      </c>
      <c r="AQ130" s="12"/>
      <c r="AR130" s="12"/>
      <c r="AS130" s="12"/>
    </row>
    <row r="131" hidden="1">
      <c r="A131" s="16"/>
      <c r="B131" s="319" t="s">
        <v>460</v>
      </c>
      <c r="C131" s="320"/>
      <c r="D131" s="320" t="s">
        <v>494</v>
      </c>
      <c r="E131" s="320" t="s">
        <v>500</v>
      </c>
      <c r="F131" s="252">
        <v>0.0</v>
      </c>
      <c r="G131" s="323">
        <f>F131*57</f>
        <v>0</v>
      </c>
      <c r="H131" s="324">
        <v>0.3</v>
      </c>
      <c r="I131" s="207">
        <f>G131*H131</f>
        <v>0</v>
      </c>
      <c r="J131" s="326" t="s">
        <v>55</v>
      </c>
      <c r="K131" s="102" t="s">
        <v>75</v>
      </c>
      <c r="L131" s="16"/>
      <c r="M131" s="16"/>
      <c r="N131" s="16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AF131" s="35">
        <f>I131*10%</f>
        <v>0</v>
      </c>
      <c r="AM131" s="35">
        <f>I131*10%</f>
        <v>0</v>
      </c>
      <c r="AN131" s="317">
        <f>I131*55%</f>
        <v>0</v>
      </c>
      <c r="AO131" s="90"/>
      <c r="AQ131" s="12"/>
      <c r="AR131" s="12"/>
      <c r="AS131" s="12"/>
    </row>
    <row r="132" hidden="1">
      <c r="A132" s="16"/>
      <c r="B132" s="319"/>
      <c r="C132" s="320"/>
      <c r="D132" s="320"/>
      <c r="E132" s="320"/>
      <c r="F132" s="252">
        <v>0.0</v>
      </c>
      <c r="G132" s="323"/>
      <c r="H132" s="324"/>
      <c r="I132" s="325"/>
      <c r="J132" s="326"/>
      <c r="K132" s="102"/>
      <c r="L132" s="16"/>
      <c r="M132" s="16"/>
      <c r="N132" s="16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AF132" s="168"/>
      <c r="AM132" s="168">
        <f>F131*H131*3.4</f>
        <v>0</v>
      </c>
      <c r="AN132" s="168">
        <f>F131*H131*13</f>
        <v>0</v>
      </c>
      <c r="AO132" s="168">
        <f>F131*H131*12</f>
        <v>0</v>
      </c>
      <c r="AQ132" s="12"/>
      <c r="AR132" s="12"/>
      <c r="AS132" s="12"/>
    </row>
    <row r="133" hidden="1">
      <c r="A133" s="16"/>
      <c r="B133" s="103" t="s">
        <v>463</v>
      </c>
      <c r="C133" s="104"/>
      <c r="D133" s="104" t="s">
        <v>502</v>
      </c>
      <c r="E133" s="104" t="s">
        <v>503</v>
      </c>
      <c r="F133" s="75">
        <v>0.0</v>
      </c>
      <c r="G133" s="227">
        <f>F133*32</f>
        <v>0</v>
      </c>
      <c r="H133" s="106">
        <v>0.9</v>
      </c>
      <c r="I133" s="228">
        <f>G133*H133</f>
        <v>0</v>
      </c>
      <c r="J133" s="107" t="s">
        <v>55</v>
      </c>
      <c r="K133" s="102"/>
      <c r="L133" s="16"/>
      <c r="M133" s="16"/>
      <c r="N133" s="16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AF133" s="175">
        <f>I133*20%</f>
        <v>0</v>
      </c>
      <c r="AQ133" s="12"/>
      <c r="AR133" s="12"/>
      <c r="AS133" s="12"/>
    </row>
    <row r="134" hidden="1">
      <c r="A134" s="16"/>
      <c r="B134" s="103"/>
      <c r="C134" s="104"/>
      <c r="D134" s="104"/>
      <c r="E134" s="104"/>
      <c r="F134" s="75">
        <v>0.0</v>
      </c>
      <c r="G134" s="227"/>
      <c r="H134" s="106"/>
      <c r="I134" s="228"/>
      <c r="J134" s="107"/>
      <c r="K134" s="102"/>
      <c r="L134" s="16"/>
      <c r="M134" s="16"/>
      <c r="N134" s="16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AQ134" s="12"/>
      <c r="AR134" s="12"/>
      <c r="AS134" s="12"/>
    </row>
    <row r="135" hidden="1">
      <c r="A135" s="16"/>
      <c r="B135" s="210" t="s">
        <v>463</v>
      </c>
      <c r="C135" s="170"/>
      <c r="D135" s="170" t="s">
        <v>505</v>
      </c>
      <c r="E135" s="170" t="s">
        <v>506</v>
      </c>
      <c r="F135" s="203">
        <v>0.0</v>
      </c>
      <c r="G135" s="205">
        <f>F135*4</f>
        <v>0</v>
      </c>
      <c r="H135" s="173">
        <v>0.5</v>
      </c>
      <c r="I135" s="207">
        <f>G135*H135</f>
        <v>0</v>
      </c>
      <c r="J135" s="174" t="s">
        <v>310</v>
      </c>
      <c r="K135" s="102"/>
      <c r="L135" s="16"/>
      <c r="M135" s="16"/>
      <c r="N135" s="16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AN135" s="12"/>
      <c r="AO135" s="12"/>
      <c r="AP135" s="12"/>
      <c r="AQ135" s="12"/>
      <c r="AR135" s="12"/>
      <c r="AS135" s="12"/>
    </row>
    <row r="136" hidden="1">
      <c r="A136" s="16"/>
      <c r="B136" s="169"/>
      <c r="C136" s="170"/>
      <c r="D136" s="170"/>
      <c r="E136" s="170"/>
      <c r="F136" s="203">
        <v>0.0</v>
      </c>
      <c r="G136" s="205"/>
      <c r="H136" s="173"/>
      <c r="I136" s="207"/>
      <c r="J136" s="174"/>
      <c r="K136" s="102"/>
      <c r="L136" s="16"/>
      <c r="M136" s="16"/>
      <c r="N136" s="16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AN136" s="12"/>
      <c r="AO136" s="12"/>
      <c r="AP136" s="12"/>
      <c r="AQ136" s="12"/>
      <c r="AR136" s="12"/>
      <c r="AS136" s="12"/>
    </row>
    <row r="137" hidden="1">
      <c r="A137" s="16"/>
      <c r="B137" s="103" t="s">
        <v>460</v>
      </c>
      <c r="C137" s="104"/>
      <c r="D137" s="104" t="s">
        <v>159</v>
      </c>
      <c r="E137" s="104" t="s">
        <v>508</v>
      </c>
      <c r="F137" s="75">
        <v>0.0</v>
      </c>
      <c r="G137" s="227">
        <f>F137*31</f>
        <v>0</v>
      </c>
      <c r="H137" s="106">
        <v>1.0</v>
      </c>
      <c r="I137" s="228">
        <f>G137*H137</f>
        <v>0</v>
      </c>
      <c r="J137" s="107" t="s">
        <v>55</v>
      </c>
      <c r="K137" s="102"/>
      <c r="L137" s="16"/>
      <c r="M137" s="16"/>
      <c r="N137" s="16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AE137" s="35">
        <f>I137</f>
        <v>0</v>
      </c>
      <c r="AN137" s="12"/>
      <c r="AO137" s="12"/>
      <c r="AP137" s="12"/>
      <c r="AQ137" s="12"/>
      <c r="AR137" s="12"/>
      <c r="AS137" s="12"/>
    </row>
    <row r="138" hidden="1">
      <c r="A138" s="16"/>
      <c r="B138" s="103"/>
      <c r="C138" s="104"/>
      <c r="D138" s="104"/>
      <c r="E138" s="104"/>
      <c r="F138" s="75">
        <v>0.0</v>
      </c>
      <c r="G138" s="227"/>
      <c r="H138" s="106"/>
      <c r="I138" s="228"/>
      <c r="J138" s="107"/>
      <c r="K138" s="102"/>
      <c r="L138" s="16"/>
      <c r="M138" s="16"/>
      <c r="N138" s="16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AE138" s="168"/>
      <c r="AN138" s="12"/>
      <c r="AO138" s="12"/>
      <c r="AP138" s="12"/>
      <c r="AQ138" s="12"/>
      <c r="AR138" s="12"/>
      <c r="AS138" s="12"/>
    </row>
    <row r="139" hidden="1">
      <c r="A139" s="16"/>
      <c r="B139" s="169" t="s">
        <v>463</v>
      </c>
      <c r="C139" s="170">
        <v>6.0</v>
      </c>
      <c r="D139" s="170" t="s">
        <v>512</v>
      </c>
      <c r="E139" s="170" t="s">
        <v>513</v>
      </c>
      <c r="F139" s="171">
        <v>0.0</v>
      </c>
      <c r="G139" s="205">
        <f>F139*7</f>
        <v>0</v>
      </c>
      <c r="H139" s="173">
        <v>0.6</v>
      </c>
      <c r="I139" s="207">
        <f>G139*H139</f>
        <v>0</v>
      </c>
      <c r="J139" s="174" t="s">
        <v>55</v>
      </c>
      <c r="K139" s="102"/>
      <c r="L139" s="16"/>
      <c r="M139" s="16"/>
      <c r="N139" s="16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AG139" s="35">
        <f>I139</f>
        <v>0</v>
      </c>
      <c r="AN139" s="12"/>
      <c r="AO139" s="12"/>
      <c r="AP139" s="12"/>
      <c r="AQ139" s="12"/>
      <c r="AR139" s="12"/>
      <c r="AS139" s="12"/>
    </row>
    <row r="140" hidden="1">
      <c r="A140" s="16"/>
      <c r="B140" s="169"/>
      <c r="C140" s="170"/>
      <c r="D140" s="170"/>
      <c r="E140" s="170"/>
      <c r="F140" s="318">
        <v>0.0</v>
      </c>
      <c r="G140" s="205"/>
      <c r="H140" s="173"/>
      <c r="I140" s="207"/>
      <c r="J140" s="384"/>
      <c r="K140" s="102"/>
      <c r="L140" s="16"/>
      <c r="M140" s="16"/>
      <c r="N140" s="16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AG140" s="385">
        <f>AG139*0.6</f>
        <v>0</v>
      </c>
      <c r="AN140" s="12"/>
      <c r="AO140" s="12"/>
      <c r="AP140" s="12"/>
      <c r="AQ140" s="12"/>
      <c r="AR140" s="12"/>
      <c r="AS140" s="12"/>
    </row>
    <row r="141" hidden="1">
      <c r="A141" s="16"/>
      <c r="B141" s="169" t="s">
        <v>463</v>
      </c>
      <c r="C141" s="170">
        <v>6.0</v>
      </c>
      <c r="D141" s="170" t="s">
        <v>512</v>
      </c>
      <c r="E141" s="170" t="s">
        <v>517</v>
      </c>
      <c r="F141" s="171">
        <v>0.0</v>
      </c>
      <c r="G141" s="205">
        <f>F141*21</f>
        <v>0</v>
      </c>
      <c r="H141" s="173">
        <v>0.25</v>
      </c>
      <c r="I141" s="207">
        <f>G141*H141</f>
        <v>0</v>
      </c>
      <c r="J141" s="174" t="s">
        <v>55</v>
      </c>
      <c r="K141" s="102"/>
      <c r="L141" s="16"/>
      <c r="M141" s="16"/>
      <c r="N141" s="16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AG141" s="35">
        <f>I141</f>
        <v>0</v>
      </c>
      <c r="AN141" s="12"/>
      <c r="AO141" s="12"/>
      <c r="AP141" s="12"/>
      <c r="AQ141" s="12"/>
      <c r="AR141" s="12"/>
      <c r="AS141" s="12"/>
    </row>
    <row r="142" hidden="1">
      <c r="A142" s="16"/>
      <c r="B142" s="169"/>
      <c r="C142" s="170"/>
      <c r="D142" s="170"/>
      <c r="E142" s="170"/>
      <c r="F142" s="318">
        <v>0.0</v>
      </c>
      <c r="G142" s="205"/>
      <c r="H142" s="173"/>
      <c r="I142" s="207"/>
      <c r="J142" s="384"/>
      <c r="K142" s="102"/>
      <c r="L142" s="16"/>
      <c r="M142" s="16"/>
      <c r="N142" s="16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AG142" s="385">
        <f>AG141*0.6</f>
        <v>0</v>
      </c>
      <c r="AN142" s="12"/>
      <c r="AO142" s="12"/>
      <c r="AP142" s="12"/>
      <c r="AQ142" s="12"/>
      <c r="AR142" s="12"/>
      <c r="AS142" s="12"/>
    </row>
    <row r="143" hidden="1">
      <c r="A143" s="16"/>
      <c r="B143" s="210" t="s">
        <v>463</v>
      </c>
      <c r="C143" s="170">
        <v>8.0</v>
      </c>
      <c r="D143" s="170" t="s">
        <v>136</v>
      </c>
      <c r="E143" s="170" t="s">
        <v>520</v>
      </c>
      <c r="F143" s="203">
        <v>0.0</v>
      </c>
      <c r="G143" s="205">
        <f>F143*10</f>
        <v>0</v>
      </c>
      <c r="H143" s="173">
        <v>0.3</v>
      </c>
      <c r="I143" s="207">
        <f>G143*H143</f>
        <v>0</v>
      </c>
      <c r="J143" s="174" t="s">
        <v>80</v>
      </c>
      <c r="K143" s="11"/>
      <c r="L143" s="16"/>
      <c r="M143" s="16"/>
      <c r="N143" s="16"/>
      <c r="O143" s="12"/>
      <c r="P143" s="12"/>
      <c r="Q143" s="12"/>
      <c r="R143" s="12"/>
      <c r="S143" s="12"/>
      <c r="T143" s="12"/>
      <c r="U143" s="12"/>
      <c r="V143" s="12"/>
      <c r="AA143" s="12"/>
      <c r="AD143" s="12"/>
      <c r="AE143" s="12"/>
      <c r="AF143" s="12"/>
      <c r="AG143" s="35">
        <f>I143</f>
        <v>0</v>
      </c>
      <c r="AK143" s="12"/>
      <c r="AL143" s="12"/>
      <c r="AM143" s="12"/>
      <c r="AN143" s="12"/>
      <c r="AO143" s="12"/>
      <c r="AP143" s="12"/>
      <c r="AQ143" s="12"/>
      <c r="AR143" s="12"/>
      <c r="AS143" s="12"/>
    </row>
    <row r="144" hidden="1">
      <c r="A144" s="16"/>
      <c r="B144" s="169"/>
      <c r="C144" s="170"/>
      <c r="D144" s="170"/>
      <c r="E144" s="170"/>
      <c r="F144" s="178">
        <v>0.0</v>
      </c>
      <c r="G144" s="205"/>
      <c r="H144" s="173"/>
      <c r="I144" s="207"/>
      <c r="J144" s="174"/>
      <c r="K144" s="11"/>
      <c r="L144" s="16"/>
      <c r="M144" s="16"/>
      <c r="N144" s="16"/>
      <c r="O144" s="12"/>
      <c r="P144" s="12"/>
      <c r="Q144" s="12"/>
      <c r="R144" s="12"/>
      <c r="S144" s="12"/>
      <c r="T144" s="12"/>
      <c r="U144" s="12"/>
      <c r="V144" s="12"/>
      <c r="AA144" s="12"/>
      <c r="AD144" s="12"/>
      <c r="AE144" s="12"/>
      <c r="AF144" s="12"/>
      <c r="AG144" s="280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hidden="1">
      <c r="A145" s="16"/>
      <c r="B145" s="213" t="s">
        <v>463</v>
      </c>
      <c r="C145" s="170"/>
      <c r="D145" s="170" t="s">
        <v>522</v>
      </c>
      <c r="E145" s="170" t="s">
        <v>523</v>
      </c>
      <c r="F145" s="203">
        <f>AD2</f>
        <v>0</v>
      </c>
      <c r="G145" s="205">
        <f>F145*2</f>
        <v>0</v>
      </c>
      <c r="H145" s="173">
        <v>0.375</v>
      </c>
      <c r="I145" s="207">
        <f>G145*H145</f>
        <v>0</v>
      </c>
      <c r="J145" s="174" t="s">
        <v>15</v>
      </c>
      <c r="K145" s="264">
        <v>0.5</v>
      </c>
      <c r="L145" s="16"/>
      <c r="M145" s="16"/>
      <c r="N145" s="16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AL145" s="279">
        <f>I145</f>
        <v>0</v>
      </c>
      <c r="AP145" s="12"/>
      <c r="AQ145" s="12"/>
      <c r="AR145" s="12"/>
      <c r="AS145" s="12"/>
    </row>
    <row r="146" hidden="1">
      <c r="A146" s="16"/>
      <c r="B146" s="169"/>
      <c r="C146" s="170"/>
      <c r="D146" s="170"/>
      <c r="E146" s="170"/>
      <c r="F146" s="203">
        <f>AD2</f>
        <v>0</v>
      </c>
      <c r="G146" s="205"/>
      <c r="H146" s="173"/>
      <c r="I146" s="207"/>
      <c r="J146" s="174"/>
      <c r="K146" s="11"/>
      <c r="L146" s="16"/>
      <c r="M146" s="16"/>
      <c r="N146" s="16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AL146" s="280"/>
      <c r="AP146" s="12"/>
      <c r="AQ146" s="12"/>
      <c r="AR146" s="12"/>
      <c r="AS146" s="12"/>
    </row>
    <row r="147" hidden="1">
      <c r="A147" s="47"/>
      <c r="B147" s="169" t="s">
        <v>463</v>
      </c>
      <c r="C147" s="170"/>
      <c r="D147" s="170" t="s">
        <v>526</v>
      </c>
      <c r="E147" s="170" t="s">
        <v>527</v>
      </c>
      <c r="F147" s="203">
        <v>0.0</v>
      </c>
      <c r="G147" s="205">
        <f>F147*2</f>
        <v>0</v>
      </c>
      <c r="H147" s="173">
        <v>0.7</v>
      </c>
      <c r="I147" s="207">
        <f>G147*H147</f>
        <v>0</v>
      </c>
      <c r="J147" s="338" t="s">
        <v>55</v>
      </c>
      <c r="K147" s="102"/>
      <c r="L147" s="47"/>
      <c r="M147" s="47"/>
      <c r="N147" s="47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AF147" s="35">
        <f>I147</f>
        <v>0</v>
      </c>
      <c r="AP147" s="55"/>
      <c r="AQ147" s="55"/>
      <c r="AR147" s="55"/>
      <c r="AS147" s="55"/>
    </row>
    <row r="148" hidden="1">
      <c r="A148" s="47"/>
      <c r="B148" s="169"/>
      <c r="C148" s="170"/>
      <c r="D148" s="170"/>
      <c r="E148" s="170"/>
      <c r="F148" s="203">
        <v>0.0</v>
      </c>
      <c r="G148" s="205"/>
      <c r="H148" s="173"/>
      <c r="I148" s="207"/>
      <c r="J148" s="338"/>
      <c r="K148" s="102"/>
      <c r="L148" s="47"/>
      <c r="M148" s="47"/>
      <c r="N148" s="47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AF148" s="168"/>
      <c r="AP148" s="55"/>
      <c r="AQ148" s="55"/>
      <c r="AR148" s="55"/>
      <c r="AS148" s="55"/>
    </row>
    <row r="149" hidden="1">
      <c r="A149" s="16"/>
      <c r="B149" s="213" t="s">
        <v>463</v>
      </c>
      <c r="C149" s="170"/>
      <c r="D149" s="170" t="s">
        <v>528</v>
      </c>
      <c r="E149" s="170" t="s">
        <v>529</v>
      </c>
      <c r="F149" s="203">
        <f>AD2</f>
        <v>0</v>
      </c>
      <c r="G149" s="205">
        <f>F149*5</f>
        <v>0</v>
      </c>
      <c r="H149" s="173">
        <v>0.25</v>
      </c>
      <c r="I149" s="207">
        <f>G149*H149</f>
        <v>0</v>
      </c>
      <c r="J149" s="174" t="s">
        <v>15</v>
      </c>
      <c r="K149" s="264">
        <v>0.5</v>
      </c>
      <c r="L149" s="16"/>
      <c r="M149" s="16"/>
      <c r="N149" s="16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AI149" s="336">
        <f>I149*25%</f>
        <v>0</v>
      </c>
      <c r="AK149" s="336">
        <f>I149*20%</f>
        <v>0</v>
      </c>
      <c r="AL149" s="336">
        <f>I149*50%</f>
        <v>0</v>
      </c>
      <c r="AM149" s="336">
        <f>I149*5%</f>
        <v>0</v>
      </c>
      <c r="AN149" s="12"/>
      <c r="AO149" s="12"/>
      <c r="AP149" s="12"/>
      <c r="AQ149" s="12"/>
      <c r="AR149" s="12"/>
      <c r="AS149" s="12"/>
    </row>
    <row r="150" hidden="1">
      <c r="A150" s="16"/>
      <c r="B150" s="169"/>
      <c r="C150" s="170"/>
      <c r="D150" s="170"/>
      <c r="E150" s="170"/>
      <c r="F150" s="203">
        <f>AD2</f>
        <v>0</v>
      </c>
      <c r="G150" s="205"/>
      <c r="H150" s="173"/>
      <c r="I150" s="207"/>
      <c r="J150" s="174"/>
      <c r="K150" s="11"/>
      <c r="L150" s="16"/>
      <c r="M150" s="16"/>
      <c r="N150" s="16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AI150" s="386"/>
      <c r="AK150" s="386"/>
      <c r="AL150" s="387">
        <f>12.6*H149*F150</f>
        <v>0</v>
      </c>
      <c r="AM150" s="387"/>
      <c r="AN150" s="12"/>
      <c r="AO150" s="12"/>
      <c r="AP150" s="12"/>
      <c r="AQ150" s="12"/>
      <c r="AR150" s="12"/>
      <c r="AS150" s="12"/>
    </row>
    <row r="151" hidden="1">
      <c r="A151" s="16"/>
      <c r="B151" s="213" t="s">
        <v>463</v>
      </c>
      <c r="C151" s="170"/>
      <c r="D151" s="170" t="s">
        <v>533</v>
      </c>
      <c r="E151" s="170" t="s">
        <v>534</v>
      </c>
      <c r="F151" s="203">
        <f>AD2</f>
        <v>0</v>
      </c>
      <c r="G151" s="205">
        <f>F151*10</f>
        <v>0</v>
      </c>
      <c r="H151" s="173">
        <v>0.25</v>
      </c>
      <c r="I151" s="207">
        <f>G151*H151</f>
        <v>0</v>
      </c>
      <c r="J151" s="174" t="s">
        <v>15</v>
      </c>
      <c r="K151" s="264">
        <v>0.5</v>
      </c>
      <c r="L151" s="16"/>
      <c r="M151" s="16"/>
      <c r="N151" s="16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AI151" s="336">
        <f>I151*25%</f>
        <v>0</v>
      </c>
      <c r="AK151" s="336">
        <f>I151*20%</f>
        <v>0</v>
      </c>
      <c r="AL151" s="336">
        <f>I151*50%</f>
        <v>0</v>
      </c>
      <c r="AM151" s="336">
        <f>I151*5%</f>
        <v>0</v>
      </c>
      <c r="AN151" s="12"/>
      <c r="AO151" s="12"/>
      <c r="AP151" s="12"/>
      <c r="AQ151" s="12"/>
      <c r="AR151" s="12"/>
      <c r="AS151" s="12"/>
    </row>
    <row r="152" hidden="1">
      <c r="A152" s="16"/>
      <c r="B152" s="169"/>
      <c r="C152" s="170"/>
      <c r="D152" s="170"/>
      <c r="E152" s="170"/>
      <c r="F152" s="203">
        <f>AD2</f>
        <v>0</v>
      </c>
      <c r="G152" s="205"/>
      <c r="H152" s="173"/>
      <c r="I152" s="207"/>
      <c r="J152" s="174"/>
      <c r="K152" s="11"/>
      <c r="L152" s="16"/>
      <c r="M152" s="16"/>
      <c r="N152" s="16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AI152" s="386"/>
      <c r="AK152" s="386"/>
      <c r="AL152" s="387">
        <f>12.6*H151*F152</f>
        <v>0</v>
      </c>
      <c r="AM152" s="387"/>
      <c r="AN152" s="12"/>
      <c r="AO152" s="12"/>
      <c r="AP152" s="12"/>
      <c r="AQ152" s="12"/>
      <c r="AR152" s="12"/>
      <c r="AS152" s="12"/>
    </row>
    <row r="153" hidden="1">
      <c r="A153" s="16"/>
      <c r="B153" s="213" t="s">
        <v>463</v>
      </c>
      <c r="C153" s="170"/>
      <c r="D153" s="170" t="s">
        <v>537</v>
      </c>
      <c r="E153" s="170" t="s">
        <v>250</v>
      </c>
      <c r="F153" s="203">
        <f>AD2</f>
        <v>0</v>
      </c>
      <c r="G153" s="205">
        <f>F153*40</f>
        <v>0</v>
      </c>
      <c r="H153" s="173">
        <v>0.15</v>
      </c>
      <c r="I153" s="207">
        <f>G153*H153</f>
        <v>0</v>
      </c>
      <c r="J153" s="174" t="s">
        <v>15</v>
      </c>
      <c r="K153" s="264">
        <v>0.5</v>
      </c>
      <c r="L153" s="16"/>
      <c r="M153" s="16"/>
      <c r="N153" s="16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AI153" s="336">
        <f>I153*25%</f>
        <v>0</v>
      </c>
      <c r="AK153" s="336">
        <f>I153*20%</f>
        <v>0</v>
      </c>
      <c r="AL153" s="336">
        <f>I153*50%</f>
        <v>0</v>
      </c>
      <c r="AM153" s="336">
        <f>I153*5%</f>
        <v>0</v>
      </c>
      <c r="AN153" s="12"/>
      <c r="AO153" s="12"/>
      <c r="AP153" s="12"/>
      <c r="AQ153" s="12"/>
      <c r="AR153" s="12"/>
      <c r="AS153" s="12"/>
    </row>
    <row r="154" hidden="1">
      <c r="A154" s="16"/>
      <c r="B154" s="169"/>
      <c r="C154" s="170"/>
      <c r="D154" s="170"/>
      <c r="E154" s="170"/>
      <c r="F154" s="203">
        <f>AD2</f>
        <v>0</v>
      </c>
      <c r="G154" s="205"/>
      <c r="H154" s="173"/>
      <c r="I154" s="207"/>
      <c r="J154" s="174"/>
      <c r="K154" s="11"/>
      <c r="L154" s="16"/>
      <c r="M154" s="16"/>
      <c r="N154" s="16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AI154" s="386"/>
      <c r="AK154" s="386"/>
      <c r="AL154" s="387">
        <f>12.6*H153*F154</f>
        <v>0</v>
      </c>
      <c r="AM154" s="387"/>
      <c r="AN154" s="12"/>
      <c r="AO154" s="12"/>
      <c r="AP154" s="12"/>
      <c r="AQ154" s="12"/>
      <c r="AR154" s="12"/>
      <c r="AS154" s="12"/>
    </row>
    <row r="155" hidden="1">
      <c r="A155" s="16"/>
      <c r="B155" s="391">
        <v>46204.0</v>
      </c>
      <c r="C155" s="170">
        <v>11.0</v>
      </c>
      <c r="D155" s="170" t="s">
        <v>193</v>
      </c>
      <c r="E155" s="170" t="s">
        <v>454</v>
      </c>
      <c r="F155" s="203">
        <v>0.0</v>
      </c>
      <c r="G155" s="205">
        <f>F155*200</f>
        <v>0</v>
      </c>
      <c r="H155" s="173">
        <v>0.15</v>
      </c>
      <c r="I155" s="207">
        <f>G155*H155</f>
        <v>0</v>
      </c>
      <c r="J155" s="174" t="s">
        <v>80</v>
      </c>
      <c r="K155" s="11"/>
      <c r="L155" s="16"/>
      <c r="M155" s="16"/>
      <c r="N155" s="16"/>
      <c r="O155" s="12"/>
      <c r="P155" s="12"/>
      <c r="Q155" s="12"/>
      <c r="R155" s="12"/>
      <c r="S155" s="12"/>
      <c r="T155" s="12"/>
      <c r="U155" s="12"/>
      <c r="V155" s="12"/>
      <c r="AE155" s="12"/>
      <c r="AF155" s="12"/>
      <c r="AI155" s="336">
        <f>I155*25%</f>
        <v>0</v>
      </c>
      <c r="AK155" s="336">
        <f>I155*20%</f>
        <v>0</v>
      </c>
      <c r="AL155" s="336">
        <f>I155*50%</f>
        <v>0</v>
      </c>
      <c r="AM155" s="336">
        <f>I155*5%</f>
        <v>0</v>
      </c>
      <c r="AN155" s="12"/>
      <c r="AO155" s="12"/>
      <c r="AP155" s="12"/>
      <c r="AQ155" s="12"/>
      <c r="AR155" s="12"/>
      <c r="AS155" s="12"/>
    </row>
    <row r="156" hidden="1">
      <c r="A156" s="16"/>
      <c r="B156" s="169"/>
      <c r="C156" s="170"/>
      <c r="D156" s="170"/>
      <c r="E156" s="170"/>
      <c r="F156" s="203">
        <v>0.0</v>
      </c>
      <c r="G156" s="205"/>
      <c r="H156" s="173"/>
      <c r="I156" s="207"/>
      <c r="J156" s="174"/>
      <c r="K156" s="11"/>
      <c r="L156" s="16"/>
      <c r="M156" s="16"/>
      <c r="N156" s="16"/>
      <c r="O156" s="12"/>
      <c r="P156" s="12"/>
      <c r="Q156" s="12"/>
      <c r="R156" s="12"/>
      <c r="S156" s="12"/>
      <c r="T156" s="12"/>
      <c r="U156" s="12"/>
      <c r="V156" s="12"/>
      <c r="AE156" s="12"/>
      <c r="AF156" s="12"/>
      <c r="AI156" s="386"/>
      <c r="AK156" s="386"/>
      <c r="AL156" s="387">
        <f>12.6*H155*F156</f>
        <v>0</v>
      </c>
      <c r="AM156" s="387"/>
      <c r="AN156" s="12"/>
      <c r="AO156" s="12"/>
      <c r="AP156" s="12"/>
      <c r="AQ156" s="12"/>
      <c r="AR156" s="12"/>
      <c r="AS156" s="12"/>
    </row>
    <row r="157" hidden="1">
      <c r="A157" s="16"/>
      <c r="B157" s="169">
        <v>2026.0</v>
      </c>
      <c r="C157" s="170"/>
      <c r="D157" s="170" t="s">
        <v>544</v>
      </c>
      <c r="E157" s="170" t="s">
        <v>325</v>
      </c>
      <c r="F157" s="203">
        <v>0.0</v>
      </c>
      <c r="G157" s="205">
        <f>F157*300</f>
        <v>0</v>
      </c>
      <c r="H157" s="173">
        <v>0.05</v>
      </c>
      <c r="I157" s="207">
        <f>G157*H157</f>
        <v>0</v>
      </c>
      <c r="J157" s="174" t="s">
        <v>80</v>
      </c>
      <c r="K157" s="11"/>
      <c r="L157" s="16"/>
      <c r="M157" s="16"/>
      <c r="N157" s="16"/>
      <c r="O157" s="12"/>
      <c r="P157" s="12"/>
      <c r="Q157" s="12"/>
      <c r="R157" s="12"/>
      <c r="S157" s="12"/>
      <c r="T157" s="12"/>
      <c r="U157" s="12"/>
      <c r="V157" s="12"/>
      <c r="AE157" s="12"/>
      <c r="AF157" s="12"/>
      <c r="AI157" s="336">
        <f>I157*25%</f>
        <v>0</v>
      </c>
      <c r="AK157" s="336">
        <f>I157*20%</f>
        <v>0</v>
      </c>
      <c r="AL157" s="336">
        <f>I157*50%</f>
        <v>0</v>
      </c>
      <c r="AM157" s="336">
        <f>I157*5%</f>
        <v>0</v>
      </c>
      <c r="AN157" s="12"/>
      <c r="AO157" s="12"/>
      <c r="AP157" s="12"/>
      <c r="AQ157" s="12"/>
      <c r="AR157" s="12"/>
      <c r="AS157" s="12"/>
    </row>
    <row r="158" hidden="1">
      <c r="A158" s="16"/>
      <c r="B158" s="169"/>
      <c r="C158" s="170"/>
      <c r="D158" s="170"/>
      <c r="E158" s="170"/>
      <c r="F158" s="203">
        <v>0.0</v>
      </c>
      <c r="G158" s="205"/>
      <c r="H158" s="173"/>
      <c r="I158" s="207"/>
      <c r="J158" s="174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AE158" s="12"/>
      <c r="AF158" s="12"/>
      <c r="AI158" s="386"/>
      <c r="AK158" s="386"/>
      <c r="AL158" s="387">
        <f>12.6*H157*F158</f>
        <v>0</v>
      </c>
      <c r="AM158" s="387"/>
      <c r="AN158" s="12"/>
      <c r="AO158" s="12"/>
      <c r="AP158" s="12"/>
      <c r="AQ158" s="12"/>
      <c r="AR158" s="12"/>
      <c r="AS158" s="12"/>
    </row>
    <row r="159" hidden="1">
      <c r="A159" s="16"/>
      <c r="B159" s="169" t="s">
        <v>467</v>
      </c>
      <c r="C159" s="170"/>
      <c r="D159" s="170" t="s">
        <v>547</v>
      </c>
      <c r="E159" s="170" t="s">
        <v>548</v>
      </c>
      <c r="F159" s="203">
        <v>0.0</v>
      </c>
      <c r="G159" s="205">
        <f>30*F159</f>
        <v>0</v>
      </c>
      <c r="H159" s="173">
        <v>0.25</v>
      </c>
      <c r="I159" s="207">
        <f>G159*H159</f>
        <v>0</v>
      </c>
      <c r="J159" s="174" t="s">
        <v>80</v>
      </c>
      <c r="K159" s="11"/>
      <c r="L159" s="16"/>
      <c r="M159" s="16"/>
      <c r="N159" s="16"/>
      <c r="O159" s="12"/>
      <c r="P159" s="12"/>
      <c r="Q159" s="12"/>
      <c r="R159" s="12"/>
      <c r="S159" s="12"/>
      <c r="T159" s="12"/>
      <c r="U159" s="12"/>
      <c r="V159" s="12"/>
      <c r="AE159" s="12"/>
      <c r="AF159" s="12"/>
      <c r="AI159" s="336">
        <f>I159*25%</f>
        <v>0</v>
      </c>
      <c r="AK159" s="336">
        <f>I159*20%</f>
        <v>0</v>
      </c>
      <c r="AL159" s="336">
        <f>I159*50%</f>
        <v>0</v>
      </c>
      <c r="AM159" s="336">
        <f>I159*5%</f>
        <v>0</v>
      </c>
      <c r="AN159" s="12"/>
      <c r="AO159" s="12"/>
      <c r="AP159" s="12"/>
      <c r="AQ159" s="12"/>
      <c r="AR159" s="12"/>
      <c r="AS159" s="12"/>
    </row>
    <row r="160" hidden="1">
      <c r="A160" s="16"/>
      <c r="B160" s="169"/>
      <c r="C160" s="170"/>
      <c r="D160" s="170"/>
      <c r="E160" s="170"/>
      <c r="F160" s="203">
        <v>0.0</v>
      </c>
      <c r="G160" s="205"/>
      <c r="H160" s="173"/>
      <c r="I160" s="207"/>
      <c r="J160" s="174"/>
      <c r="K160" s="11"/>
      <c r="L160" s="16"/>
      <c r="M160" s="16"/>
      <c r="N160" s="16"/>
      <c r="O160" s="12"/>
      <c r="P160" s="12"/>
      <c r="Q160" s="12"/>
      <c r="R160" s="12"/>
      <c r="S160" s="12"/>
      <c r="T160" s="12"/>
      <c r="U160" s="12"/>
      <c r="V160" s="12"/>
      <c r="AE160" s="12"/>
      <c r="AF160" s="12"/>
      <c r="AI160" s="386"/>
      <c r="AK160" s="386"/>
      <c r="AL160" s="387">
        <f>12.6*H159*F160</f>
        <v>0</v>
      </c>
      <c r="AM160" s="387"/>
      <c r="AN160" s="12"/>
      <c r="AO160" s="12"/>
      <c r="AP160" s="12"/>
      <c r="AQ160" s="12"/>
      <c r="AR160" s="12"/>
      <c r="AS160" s="12"/>
    </row>
    <row r="161" hidden="1">
      <c r="A161" s="16"/>
      <c r="B161" s="213" t="s">
        <v>467</v>
      </c>
      <c r="C161" s="170"/>
      <c r="D161" s="170" t="s">
        <v>485</v>
      </c>
      <c r="E161" s="170" t="s">
        <v>549</v>
      </c>
      <c r="F161" s="203">
        <v>0.0</v>
      </c>
      <c r="G161" s="172">
        <f>F161*20</f>
        <v>0</v>
      </c>
      <c r="H161" s="173">
        <v>0.3</v>
      </c>
      <c r="I161" s="170">
        <f>G161*H161</f>
        <v>0</v>
      </c>
      <c r="J161" s="174" t="s">
        <v>15</v>
      </c>
      <c r="K161" s="264">
        <v>0.5</v>
      </c>
      <c r="L161" s="16"/>
      <c r="M161" s="16"/>
      <c r="N161" s="16"/>
      <c r="O161" s="12"/>
      <c r="P161" s="12"/>
      <c r="Q161" s="12"/>
      <c r="R161" s="12"/>
      <c r="S161" s="12"/>
      <c r="T161" s="12"/>
      <c r="U161" s="12"/>
      <c r="V161" s="12"/>
      <c r="AE161" s="12"/>
      <c r="AF161" s="12"/>
      <c r="AG161" s="337">
        <f>I161*25%</f>
        <v>0</v>
      </c>
      <c r="AI161" s="337">
        <f>I161*20%</f>
        <v>0</v>
      </c>
      <c r="AK161" s="337">
        <f>I161*50%</f>
        <v>0</v>
      </c>
      <c r="AL161" s="337">
        <f>I161*5%</f>
        <v>0</v>
      </c>
      <c r="AM161" s="337"/>
      <c r="AN161" s="12"/>
      <c r="AO161" s="12"/>
      <c r="AP161" s="12"/>
      <c r="AQ161" s="12"/>
      <c r="AR161" s="12"/>
      <c r="AS161" s="12"/>
    </row>
    <row r="162" hidden="1">
      <c r="A162" s="16"/>
      <c r="B162" s="169"/>
      <c r="C162" s="170"/>
      <c r="D162" s="170"/>
      <c r="E162" s="170"/>
      <c r="F162" s="318">
        <v>0.0</v>
      </c>
      <c r="G162" s="172"/>
      <c r="H162" s="173"/>
      <c r="I162" s="170"/>
      <c r="J162" s="174"/>
      <c r="K162" s="11"/>
      <c r="L162" s="16"/>
      <c r="M162" s="16"/>
      <c r="N162" s="16"/>
      <c r="O162" s="12"/>
      <c r="P162" s="12"/>
      <c r="Q162" s="12"/>
      <c r="R162" s="12"/>
      <c r="S162" s="12"/>
      <c r="T162" s="12"/>
      <c r="U162" s="12"/>
      <c r="V162" s="12"/>
      <c r="AE162" s="12"/>
      <c r="AF162" s="12"/>
      <c r="AG162" s="386"/>
      <c r="AI162" s="386"/>
      <c r="AK162" s="387">
        <f>12.6*H161*F162</f>
        <v>0</v>
      </c>
      <c r="AL162" s="387"/>
      <c r="AM162" s="398">
        <f>H161*13.5*F162</f>
        <v>0</v>
      </c>
      <c r="AN162" s="12"/>
      <c r="AO162" s="12"/>
      <c r="AP162" s="12"/>
      <c r="AQ162" s="12"/>
      <c r="AR162" s="12"/>
      <c r="AS162" s="12"/>
    </row>
    <row r="163" hidden="1">
      <c r="A163" s="16"/>
      <c r="B163" s="213" t="s">
        <v>467</v>
      </c>
      <c r="C163" s="170"/>
      <c r="D163" s="170" t="s">
        <v>561</v>
      </c>
      <c r="E163" s="170" t="s">
        <v>562</v>
      </c>
      <c r="F163" s="171">
        <f>AD2</f>
        <v>0</v>
      </c>
      <c r="G163" s="205">
        <f>F163*35</f>
        <v>0</v>
      </c>
      <c r="H163" s="173">
        <v>0.3</v>
      </c>
      <c r="I163" s="207">
        <f>G163*H163</f>
        <v>0</v>
      </c>
      <c r="J163" s="174" t="s">
        <v>15</v>
      </c>
      <c r="K163" s="11"/>
      <c r="L163" s="16"/>
      <c r="M163" s="16"/>
      <c r="N163" s="16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AK163" s="336">
        <f>I163*25%</f>
        <v>0</v>
      </c>
      <c r="AL163" s="336">
        <f>I163*20%</f>
        <v>0</v>
      </c>
      <c r="AM163" s="336">
        <f>I163*50%</f>
        <v>0</v>
      </c>
      <c r="AN163" s="12"/>
      <c r="AO163" s="12"/>
      <c r="AP163" s="12"/>
      <c r="AQ163" s="12"/>
      <c r="AR163" s="12"/>
      <c r="AS163" s="12"/>
    </row>
    <row r="164" hidden="1">
      <c r="A164" s="16"/>
      <c r="B164" s="169"/>
      <c r="C164" s="170"/>
      <c r="D164" s="170"/>
      <c r="E164" s="170"/>
      <c r="F164" s="216">
        <f>AD2</f>
        <v>0</v>
      </c>
      <c r="G164" s="205"/>
      <c r="H164" s="173"/>
      <c r="I164" s="207"/>
      <c r="J164" s="384"/>
      <c r="K164" s="11"/>
      <c r="L164" s="16"/>
      <c r="M164" s="16"/>
      <c r="N164" s="16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AK164" s="386"/>
      <c r="AL164" s="386"/>
      <c r="AM164" s="387">
        <f>12.6*H163*F164</f>
        <v>0</v>
      </c>
      <c r="AN164" s="12"/>
      <c r="AO164" s="12"/>
      <c r="AP164" s="12"/>
      <c r="AQ164" s="12"/>
      <c r="AR164" s="12"/>
      <c r="AS164" s="12"/>
    </row>
    <row r="165" hidden="1">
      <c r="A165" s="16"/>
      <c r="B165" s="213" t="s">
        <v>467</v>
      </c>
      <c r="C165" s="170"/>
      <c r="D165" s="170" t="s">
        <v>566</v>
      </c>
      <c r="E165" s="170" t="s">
        <v>567</v>
      </c>
      <c r="F165" s="203">
        <f>AD2</f>
        <v>0</v>
      </c>
      <c r="G165" s="205">
        <f>F165*55</f>
        <v>0</v>
      </c>
      <c r="H165" s="173">
        <v>0.38</v>
      </c>
      <c r="I165" s="207">
        <f>G165*H165</f>
        <v>0</v>
      </c>
      <c r="J165" s="174" t="s">
        <v>15</v>
      </c>
      <c r="K165" s="11"/>
      <c r="L165" s="16"/>
      <c r="M165" s="16"/>
      <c r="N165" s="16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AK165" s="336">
        <f>I165*25%</f>
        <v>0</v>
      </c>
      <c r="AL165" s="336">
        <f>I165*20%</f>
        <v>0</v>
      </c>
      <c r="AM165" s="336">
        <f>I165*50%</f>
        <v>0</v>
      </c>
      <c r="AN165" s="12"/>
      <c r="AO165" s="12"/>
      <c r="AP165" s="12"/>
      <c r="AQ165" s="12"/>
      <c r="AR165" s="12"/>
      <c r="AS165" s="12"/>
    </row>
    <row r="166" hidden="1">
      <c r="A166" s="16"/>
      <c r="B166" s="169"/>
      <c r="C166" s="170"/>
      <c r="D166" s="170"/>
      <c r="E166" s="170"/>
      <c r="F166" s="203">
        <f>AD2</f>
        <v>0</v>
      </c>
      <c r="G166" s="205"/>
      <c r="H166" s="173"/>
      <c r="I166" s="207"/>
      <c r="J166" s="174"/>
      <c r="K166" s="11"/>
      <c r="L166" s="16"/>
      <c r="M166" s="16"/>
      <c r="N166" s="16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AK166" s="386"/>
      <c r="AL166" s="386"/>
      <c r="AM166" s="387">
        <f>12.6*H165*F166</f>
        <v>0</v>
      </c>
      <c r="AN166" s="12"/>
      <c r="AO166" s="12"/>
      <c r="AP166" s="12"/>
      <c r="AQ166" s="12"/>
      <c r="AR166" s="12"/>
      <c r="AS166" s="12"/>
    </row>
    <row r="167" hidden="1">
      <c r="A167" s="16"/>
      <c r="B167" s="213" t="s">
        <v>467</v>
      </c>
      <c r="C167" s="170"/>
      <c r="D167" s="170" t="s">
        <v>570</v>
      </c>
      <c r="E167" s="170" t="s">
        <v>571</v>
      </c>
      <c r="F167" s="171">
        <f>AD2</f>
        <v>0</v>
      </c>
      <c r="G167" s="205">
        <f>F167*30</f>
        <v>0</v>
      </c>
      <c r="H167" s="173">
        <v>0.5</v>
      </c>
      <c r="I167" s="207">
        <f>G167*H167</f>
        <v>0</v>
      </c>
      <c r="J167" s="174" t="s">
        <v>15</v>
      </c>
      <c r="K167" s="11"/>
      <c r="L167" s="16"/>
      <c r="M167" s="16"/>
      <c r="N167" s="16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AK167" s="336">
        <f>I167*25%</f>
        <v>0</v>
      </c>
      <c r="AL167" s="336">
        <f>I167*20%</f>
        <v>0</v>
      </c>
      <c r="AM167" s="336">
        <f>I167*50%</f>
        <v>0</v>
      </c>
      <c r="AN167" s="12"/>
      <c r="AO167" s="12"/>
      <c r="AP167" s="12"/>
      <c r="AQ167" s="12"/>
      <c r="AR167" s="12"/>
      <c r="AS167" s="12"/>
    </row>
    <row r="168" hidden="1">
      <c r="A168" s="16"/>
      <c r="B168" s="169"/>
      <c r="C168" s="170"/>
      <c r="D168" s="170"/>
      <c r="E168" s="170"/>
      <c r="F168" s="216">
        <f>AD2</f>
        <v>0</v>
      </c>
      <c r="G168" s="205"/>
      <c r="H168" s="173"/>
      <c r="I168" s="207"/>
      <c r="J168" s="384"/>
      <c r="K168" s="11"/>
      <c r="L168" s="16"/>
      <c r="M168" s="16"/>
      <c r="N168" s="16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AK168" s="386"/>
      <c r="AL168" s="386"/>
      <c r="AM168" s="387">
        <f>12.6*H167*F168</f>
        <v>0</v>
      </c>
      <c r="AN168" s="28"/>
      <c r="AO168" s="28">
        <v>2026.0</v>
      </c>
      <c r="AP168" s="28"/>
      <c r="AQ168" s="28"/>
      <c r="AR168" s="28"/>
      <c r="AS168" s="28"/>
    </row>
    <row r="169" hidden="1">
      <c r="A169" s="16"/>
      <c r="B169" s="169" t="s">
        <v>467</v>
      </c>
      <c r="C169" s="170"/>
      <c r="D169" s="170" t="s">
        <v>572</v>
      </c>
      <c r="E169" s="170" t="s">
        <v>573</v>
      </c>
      <c r="F169" s="171">
        <v>0.0</v>
      </c>
      <c r="G169" s="172">
        <f>F169*3</f>
        <v>0</v>
      </c>
      <c r="H169" s="173">
        <v>0.15</v>
      </c>
      <c r="I169" s="170">
        <f>G169*H169</f>
        <v>0</v>
      </c>
      <c r="J169" s="174" t="s">
        <v>15</v>
      </c>
      <c r="K169" s="264">
        <v>0.5</v>
      </c>
      <c r="L169" s="16"/>
      <c r="M169" s="16"/>
      <c r="N169" s="16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AG169" s="12"/>
      <c r="AI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 hidden="1">
      <c r="A170" s="16"/>
      <c r="B170" s="169"/>
      <c r="C170" s="170"/>
      <c r="D170" s="170"/>
      <c r="E170" s="170"/>
      <c r="F170" s="318">
        <v>0.0</v>
      </c>
      <c r="G170" s="172"/>
      <c r="H170" s="173"/>
      <c r="I170" s="170"/>
      <c r="J170" s="384"/>
      <c r="K170" s="11"/>
      <c r="L170" s="16"/>
      <c r="M170" s="16"/>
      <c r="N170" s="16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AG170" s="12"/>
      <c r="AI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 hidden="1">
      <c r="A171" s="16"/>
      <c r="B171" s="169" t="s">
        <v>467</v>
      </c>
      <c r="C171" s="170"/>
      <c r="D171" s="170" t="s">
        <v>574</v>
      </c>
      <c r="E171" s="170" t="s">
        <v>106</v>
      </c>
      <c r="F171" s="171">
        <v>0.0</v>
      </c>
      <c r="G171" s="172">
        <f>F171*30</f>
        <v>0</v>
      </c>
      <c r="H171" s="173">
        <v>0.25</v>
      </c>
      <c r="I171" s="170">
        <f>G171*H171</f>
        <v>0</v>
      </c>
      <c r="J171" s="174" t="s">
        <v>15</v>
      </c>
      <c r="K171" s="264">
        <v>0.5</v>
      </c>
      <c r="L171" s="16"/>
      <c r="M171" s="16"/>
      <c r="N171" s="16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AG171" s="12"/>
      <c r="AI171" s="12"/>
      <c r="AK171" s="12"/>
      <c r="AL171" s="12"/>
      <c r="AM171" s="12"/>
      <c r="AN171" s="12"/>
      <c r="AO171" s="12"/>
      <c r="AP171" s="12"/>
      <c r="AQ171" s="12"/>
      <c r="AR171" s="12"/>
      <c r="AS171" s="12"/>
    </row>
    <row r="172" hidden="1">
      <c r="A172" s="16"/>
      <c r="B172" s="169"/>
      <c r="C172" s="170"/>
      <c r="D172" s="170"/>
      <c r="E172" s="170"/>
      <c r="F172" s="318">
        <v>0.0</v>
      </c>
      <c r="G172" s="172"/>
      <c r="H172" s="173"/>
      <c r="I172" s="170"/>
      <c r="J172" s="384"/>
      <c r="K172" s="11"/>
      <c r="L172" s="16"/>
      <c r="M172" s="16"/>
      <c r="N172" s="16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AG172" s="12"/>
      <c r="AI172" s="12"/>
      <c r="AK172" s="12"/>
      <c r="AL172" s="12"/>
      <c r="AM172" s="12"/>
      <c r="AN172" s="12"/>
      <c r="AO172" s="12"/>
      <c r="AP172" s="12"/>
      <c r="AQ172" s="12"/>
      <c r="AR172" s="12"/>
      <c r="AS172" s="12"/>
    </row>
    <row r="173" hidden="1">
      <c r="A173" s="16"/>
      <c r="B173" s="169" t="s">
        <v>467</v>
      </c>
      <c r="C173" s="170"/>
      <c r="D173" s="170" t="s">
        <v>159</v>
      </c>
      <c r="E173" s="170" t="s">
        <v>575</v>
      </c>
      <c r="F173" s="171">
        <v>0.0</v>
      </c>
      <c r="G173" s="172">
        <f>F173*30</f>
        <v>0</v>
      </c>
      <c r="H173" s="173">
        <v>0.5</v>
      </c>
      <c r="I173" s="170">
        <f>G173*H173</f>
        <v>0</v>
      </c>
      <c r="J173" s="174" t="s">
        <v>15</v>
      </c>
      <c r="K173" s="11"/>
      <c r="L173" s="16"/>
      <c r="M173" s="16"/>
      <c r="N173" s="16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AG173" s="12"/>
      <c r="AI173" s="12"/>
      <c r="AK173" s="12"/>
      <c r="AL173" s="12"/>
      <c r="AM173" s="12"/>
      <c r="AN173" s="12"/>
      <c r="AO173" s="12"/>
      <c r="AP173" s="12"/>
      <c r="AQ173" s="12"/>
      <c r="AR173" s="12"/>
      <c r="AS173" s="12"/>
    </row>
    <row r="174" hidden="1">
      <c r="A174" s="16"/>
      <c r="B174" s="169"/>
      <c r="C174" s="170"/>
      <c r="D174" s="170"/>
      <c r="E174" s="170"/>
      <c r="F174" s="318">
        <v>0.0</v>
      </c>
      <c r="G174" s="172"/>
      <c r="H174" s="173"/>
      <c r="I174" s="170"/>
      <c r="J174" s="384"/>
      <c r="K174" s="11"/>
      <c r="L174" s="16"/>
      <c r="M174" s="16"/>
      <c r="N174" s="16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AG174" s="12"/>
      <c r="AI174" s="12"/>
      <c r="AK174" s="12"/>
      <c r="AL174" s="12"/>
      <c r="AM174" s="12"/>
      <c r="AN174" s="12"/>
      <c r="AO174" s="12"/>
      <c r="AP174" s="12"/>
      <c r="AQ174" s="12"/>
      <c r="AR174" s="12"/>
      <c r="AS174" s="12"/>
    </row>
    <row r="175" hidden="1">
      <c r="A175" s="16"/>
      <c r="B175" s="169" t="s">
        <v>467</v>
      </c>
      <c r="C175" s="170"/>
      <c r="D175" s="170" t="s">
        <v>576</v>
      </c>
      <c r="E175" s="170" t="s">
        <v>577</v>
      </c>
      <c r="F175" s="171">
        <v>0.0</v>
      </c>
      <c r="G175" s="172">
        <f>F175*55</f>
        <v>0</v>
      </c>
      <c r="H175" s="173">
        <v>0.38</v>
      </c>
      <c r="I175" s="170">
        <f>G175*H175</f>
        <v>0</v>
      </c>
      <c r="J175" s="174" t="s">
        <v>15</v>
      </c>
      <c r="K175" s="264">
        <v>0.5</v>
      </c>
      <c r="L175" s="16"/>
      <c r="M175" s="16"/>
      <c r="N175" s="16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AG175" s="12"/>
      <c r="AI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 hidden="1">
      <c r="A176" s="16"/>
      <c r="B176" s="169"/>
      <c r="C176" s="170"/>
      <c r="D176" s="170"/>
      <c r="E176" s="170"/>
      <c r="F176" s="318">
        <v>0.0</v>
      </c>
      <c r="G176" s="172"/>
      <c r="H176" s="173"/>
      <c r="I176" s="170"/>
      <c r="J176" s="384"/>
      <c r="K176" s="11"/>
      <c r="L176" s="16"/>
      <c r="M176" s="16"/>
      <c r="N176" s="16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AG176" s="12"/>
      <c r="AI176" s="12"/>
      <c r="AK176" s="12"/>
      <c r="AL176" s="12"/>
      <c r="AM176" s="12"/>
      <c r="AN176" s="12"/>
      <c r="AO176" s="12"/>
      <c r="AP176" s="12"/>
      <c r="AQ176" s="12"/>
      <c r="AR176" s="12"/>
      <c r="AS176" s="12"/>
    </row>
    <row r="177" hidden="1">
      <c r="A177" s="16"/>
      <c r="B177" s="169" t="s">
        <v>467</v>
      </c>
      <c r="C177" s="170"/>
      <c r="D177" s="170" t="s">
        <v>578</v>
      </c>
      <c r="E177" s="170"/>
      <c r="F177" s="203">
        <v>0.0</v>
      </c>
      <c r="G177" s="172">
        <f>F177*60</f>
        <v>0</v>
      </c>
      <c r="H177" s="173">
        <v>0.15</v>
      </c>
      <c r="I177" s="170">
        <f>G177*H177</f>
        <v>0</v>
      </c>
      <c r="J177" s="174" t="s">
        <v>15</v>
      </c>
      <c r="K177" s="264">
        <v>0.5</v>
      </c>
      <c r="L177" s="16"/>
      <c r="M177" s="16"/>
      <c r="N177" s="16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AG177" s="12"/>
      <c r="AI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 hidden="1">
      <c r="A178" s="16"/>
      <c r="B178" s="169"/>
      <c r="C178" s="170"/>
      <c r="D178" s="170"/>
      <c r="E178" s="170"/>
      <c r="F178" s="203">
        <v>0.0</v>
      </c>
      <c r="G178" s="172"/>
      <c r="H178" s="173"/>
      <c r="I178" s="170"/>
      <c r="J178" s="174"/>
      <c r="K178" s="11"/>
      <c r="L178" s="16"/>
      <c r="M178" s="16"/>
      <c r="N178" s="16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AG178" s="12"/>
      <c r="AI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 hidden="1">
      <c r="A179" s="16"/>
      <c r="B179" s="169" t="s">
        <v>467</v>
      </c>
      <c r="C179" s="170"/>
      <c r="D179" s="170" t="s">
        <v>193</v>
      </c>
      <c r="E179" s="170" t="s">
        <v>454</v>
      </c>
      <c r="F179" s="171">
        <v>0.0</v>
      </c>
      <c r="G179" s="172">
        <f>F179*200</f>
        <v>0</v>
      </c>
      <c r="H179" s="173">
        <v>0.15</v>
      </c>
      <c r="I179" s="170">
        <f>G179*H179</f>
        <v>0</v>
      </c>
      <c r="J179" s="174" t="s">
        <v>15</v>
      </c>
      <c r="K179" s="264">
        <v>0.5</v>
      </c>
      <c r="L179" s="16"/>
      <c r="M179" s="16"/>
      <c r="N179" s="16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AG179" s="12"/>
      <c r="AI179" s="12"/>
      <c r="AK179" s="12"/>
      <c r="AL179" s="12"/>
      <c r="AM179" s="12"/>
      <c r="AN179" s="12"/>
      <c r="AO179" s="12"/>
      <c r="AP179" s="12"/>
      <c r="AQ179" s="12"/>
      <c r="AR179" s="12"/>
      <c r="AS179" s="12"/>
    </row>
    <row r="180" hidden="1">
      <c r="A180" s="16"/>
      <c r="B180" s="169"/>
      <c r="C180" s="170"/>
      <c r="D180" s="170"/>
      <c r="E180" s="170"/>
      <c r="F180" s="318">
        <v>0.0</v>
      </c>
      <c r="G180" s="172"/>
      <c r="H180" s="173"/>
      <c r="I180" s="170"/>
      <c r="J180" s="384"/>
      <c r="K180" s="11"/>
      <c r="L180" s="16"/>
      <c r="M180" s="16"/>
      <c r="N180" s="16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AG180" s="12"/>
      <c r="AI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hidden="1">
      <c r="A181" s="16"/>
      <c r="B181" s="169" t="s">
        <v>467</v>
      </c>
      <c r="C181" s="170"/>
      <c r="D181" s="170" t="s">
        <v>544</v>
      </c>
      <c r="E181" s="170" t="s">
        <v>325</v>
      </c>
      <c r="F181" s="171">
        <v>0.0</v>
      </c>
      <c r="G181" s="172">
        <f>300*F181</f>
        <v>0</v>
      </c>
      <c r="H181" s="173">
        <v>0.05</v>
      </c>
      <c r="I181" s="170">
        <f>G181*H181</f>
        <v>0</v>
      </c>
      <c r="J181" s="174" t="s">
        <v>80</v>
      </c>
      <c r="K181" s="264">
        <v>0.5</v>
      </c>
      <c r="L181" s="16"/>
      <c r="M181" s="16"/>
      <c r="N181" s="16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AG181" s="12"/>
      <c r="AI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 hidden="1">
      <c r="A182" s="16"/>
      <c r="B182" s="169"/>
      <c r="C182" s="170"/>
      <c r="D182" s="170"/>
      <c r="E182" s="170"/>
      <c r="F182" s="318">
        <v>0.0</v>
      </c>
      <c r="G182" s="172"/>
      <c r="H182" s="173"/>
      <c r="I182" s="170"/>
      <c r="J182" s="384"/>
      <c r="K182" s="11"/>
      <c r="L182" s="16"/>
      <c r="M182" s="16"/>
      <c r="N182" s="16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AG182" s="12"/>
      <c r="AI182" s="12"/>
      <c r="AK182" s="12"/>
      <c r="AL182" s="12"/>
      <c r="AM182" s="12"/>
      <c r="AN182" s="12"/>
      <c r="AO182" s="12"/>
      <c r="AP182" s="12"/>
      <c r="AQ182" s="12"/>
      <c r="AR182" s="12"/>
      <c r="AS182" s="12"/>
    </row>
    <row r="183">
      <c r="A183" s="16"/>
      <c r="B183" s="210" t="s">
        <v>467</v>
      </c>
      <c r="C183" s="170"/>
      <c r="D183" s="170" t="s">
        <v>579</v>
      </c>
      <c r="E183" s="170" t="s">
        <v>580</v>
      </c>
      <c r="F183" s="203">
        <v>1.0</v>
      </c>
      <c r="G183" s="205">
        <f>F183*215</f>
        <v>215</v>
      </c>
      <c r="H183" s="173">
        <v>0.9</v>
      </c>
      <c r="I183" s="207">
        <f>G183*H183</f>
        <v>193.5</v>
      </c>
      <c r="J183" s="174" t="s">
        <v>55</v>
      </c>
      <c r="K183" s="11"/>
      <c r="L183" s="16"/>
      <c r="M183" s="16"/>
      <c r="N183" s="16"/>
      <c r="O183" s="12"/>
      <c r="P183" s="12"/>
      <c r="Q183" s="12"/>
      <c r="R183" s="12"/>
      <c r="S183" s="12"/>
      <c r="T183" s="12"/>
      <c r="U183" s="12"/>
      <c r="V183" s="12"/>
      <c r="AF183" s="175">
        <f>I183*20%</f>
        <v>38.7</v>
      </c>
      <c r="AG183" s="175"/>
      <c r="AH183" s="175">
        <f>I183*10%</f>
        <v>19.35</v>
      </c>
      <c r="AI183" s="175"/>
      <c r="AJ183" s="175">
        <f>I183*15%</f>
        <v>29.025</v>
      </c>
      <c r="AK183" s="175">
        <f>I183*20%</f>
        <v>38.7</v>
      </c>
      <c r="AL183" s="175">
        <f>I183*30%</f>
        <v>58.05</v>
      </c>
      <c r="AM183" s="175">
        <f>I183*5%</f>
        <v>9.675</v>
      </c>
      <c r="AN183" s="175"/>
      <c r="AO183" s="175"/>
      <c r="AR183" s="12"/>
      <c r="AS183" s="12"/>
    </row>
    <row r="184">
      <c r="A184" s="16"/>
      <c r="B184" s="169"/>
      <c r="C184" s="170"/>
      <c r="D184" s="170"/>
      <c r="E184" s="170"/>
      <c r="F184" s="178">
        <v>1.0</v>
      </c>
      <c r="G184" s="205"/>
      <c r="H184" s="173"/>
      <c r="I184" s="207"/>
      <c r="J184" s="174"/>
      <c r="K184" s="11"/>
      <c r="L184" s="16"/>
      <c r="M184" s="16"/>
      <c r="N184" s="16"/>
      <c r="O184" s="12"/>
      <c r="P184" s="12"/>
      <c r="Q184" s="12"/>
      <c r="R184" s="12"/>
      <c r="S184" s="12"/>
      <c r="T184" s="12"/>
      <c r="U184" s="12"/>
      <c r="V184" s="12"/>
      <c r="AF184" s="113"/>
      <c r="AG184" s="113"/>
      <c r="AH184" s="113"/>
      <c r="AI184" s="113"/>
      <c r="AJ184" s="113">
        <f>F183*H183*17</f>
        <v>15.3</v>
      </c>
      <c r="AK184" s="113">
        <f>F183*H183*39</f>
        <v>35.1</v>
      </c>
      <c r="AL184" s="113">
        <f>F183*H183*27</f>
        <v>24.3</v>
      </c>
      <c r="AM184" s="113">
        <f>F183*H183*17</f>
        <v>15.3</v>
      </c>
      <c r="AN184" s="113"/>
      <c r="AO184" s="113">
        <f>F183*H183*53</f>
        <v>47.7</v>
      </c>
      <c r="AR184" s="12"/>
      <c r="AS184" s="12"/>
    </row>
    <row r="185" hidden="1">
      <c r="A185" s="16"/>
      <c r="B185" s="103" t="s">
        <v>467</v>
      </c>
      <c r="C185" s="104">
        <v>5.0</v>
      </c>
      <c r="D185" s="104" t="s">
        <v>581</v>
      </c>
      <c r="E185" s="104" t="s">
        <v>582</v>
      </c>
      <c r="F185" s="75">
        <v>0.0</v>
      </c>
      <c r="G185" s="227">
        <f>F185*55</f>
        <v>0</v>
      </c>
      <c r="H185" s="106">
        <v>0.7</v>
      </c>
      <c r="I185" s="228">
        <f>G185*H185</f>
        <v>0</v>
      </c>
      <c r="J185" s="107" t="s">
        <v>55</v>
      </c>
      <c r="K185" s="11" t="s">
        <v>583</v>
      </c>
      <c r="L185" s="16"/>
      <c r="M185" s="16"/>
      <c r="N185" s="16"/>
      <c r="O185" s="12"/>
      <c r="P185" s="12"/>
      <c r="Q185" s="12"/>
      <c r="R185" s="12"/>
      <c r="S185" s="12"/>
      <c r="T185" s="12"/>
      <c r="U185" s="12"/>
      <c r="V185" s="12"/>
      <c r="AB185" s="375"/>
      <c r="AF185" s="175">
        <f>I185*20%</f>
        <v>0</v>
      </c>
      <c r="AH185" s="175">
        <f>I185*20%</f>
        <v>0</v>
      </c>
      <c r="AJ185" s="175">
        <f>I185*15%</f>
        <v>0</v>
      </c>
      <c r="AK185" s="175">
        <f>I185*25%</f>
        <v>0</v>
      </c>
      <c r="AL185" s="175">
        <f>I185*20%</f>
        <v>0</v>
      </c>
      <c r="AP185" s="12"/>
      <c r="AQ185" s="12"/>
      <c r="AR185" s="12"/>
      <c r="AS185" s="12"/>
    </row>
    <row r="186" hidden="1">
      <c r="A186" s="16"/>
      <c r="B186" s="103"/>
      <c r="C186" s="104"/>
      <c r="D186" s="104"/>
      <c r="E186" s="104"/>
      <c r="F186" s="75">
        <v>0.0</v>
      </c>
      <c r="G186" s="227"/>
      <c r="H186" s="106"/>
      <c r="I186" s="228"/>
      <c r="J186" s="107"/>
      <c r="K186" s="11"/>
      <c r="L186" s="16"/>
      <c r="M186" s="16"/>
      <c r="N186" s="16"/>
      <c r="O186" s="12"/>
      <c r="P186" s="12"/>
      <c r="Q186" s="12"/>
      <c r="R186" s="12"/>
      <c r="S186" s="12"/>
      <c r="T186" s="12"/>
      <c r="U186" s="12"/>
      <c r="V186" s="12"/>
      <c r="AF186" s="113">
        <f>F185*H185*2.8*2</f>
        <v>0</v>
      </c>
      <c r="AH186" s="113">
        <f>F185*H185*3.7*2</f>
        <v>0</v>
      </c>
      <c r="AJ186" s="113">
        <f>F185*H185*6.4*2</f>
        <v>0</v>
      </c>
      <c r="AK186" s="113">
        <f>F185*H185*2.8*2</f>
        <v>0</v>
      </c>
      <c r="AL186" s="113"/>
      <c r="AP186" s="12"/>
      <c r="AQ186" s="12"/>
      <c r="AR186" s="12"/>
      <c r="AS186" s="12"/>
    </row>
    <row r="187" hidden="1">
      <c r="A187" s="16"/>
      <c r="B187" s="169" t="s">
        <v>467</v>
      </c>
      <c r="C187" s="170"/>
      <c r="D187" s="170" t="s">
        <v>43</v>
      </c>
      <c r="E187" s="170" t="s">
        <v>584</v>
      </c>
      <c r="F187" s="203">
        <v>0.0</v>
      </c>
      <c r="G187" s="205">
        <f>22*F187</f>
        <v>0</v>
      </c>
      <c r="H187" s="173">
        <v>1.0</v>
      </c>
      <c r="I187" s="207">
        <f>G187*H187</f>
        <v>0</v>
      </c>
      <c r="J187" s="174" t="s">
        <v>55</v>
      </c>
      <c r="K187" s="11" t="s">
        <v>75</v>
      </c>
      <c r="L187" s="16"/>
      <c r="M187" s="16"/>
      <c r="N187" s="16"/>
      <c r="O187" s="12"/>
      <c r="P187" s="12"/>
      <c r="Q187" s="12"/>
      <c r="R187" s="12"/>
      <c r="S187" s="12"/>
      <c r="T187" s="12"/>
      <c r="U187" s="12"/>
      <c r="V187" s="12"/>
      <c r="AH187" s="35">
        <f>I187*20%</f>
        <v>0</v>
      </c>
      <c r="AI187" s="35">
        <f>I187*10%</f>
        <v>0</v>
      </c>
      <c r="AJ187" s="317">
        <f>I187*15%</f>
        <v>0</v>
      </c>
      <c r="AL187" s="317">
        <f>I187*20%</f>
        <v>0</v>
      </c>
      <c r="AM187" s="317">
        <f>I187*20%</f>
        <v>0</v>
      </c>
      <c r="AN187" s="317">
        <f>I187*15%</f>
        <v>0</v>
      </c>
      <c r="AO187" s="12"/>
      <c r="AP187" s="12"/>
      <c r="AQ187" s="12"/>
      <c r="AR187" s="12"/>
      <c r="AS187" s="12"/>
    </row>
    <row r="188" hidden="1">
      <c r="A188" s="16"/>
      <c r="B188" s="169"/>
      <c r="C188" s="170"/>
      <c r="D188" s="170"/>
      <c r="E188" s="170"/>
      <c r="F188" s="203">
        <v>0.0</v>
      </c>
      <c r="G188" s="205"/>
      <c r="H188" s="173"/>
      <c r="I188" s="207"/>
      <c r="J188" s="174"/>
      <c r="K188" s="11"/>
      <c r="L188" s="16"/>
      <c r="M188" s="16"/>
      <c r="N188" s="16"/>
      <c r="O188" s="12"/>
      <c r="P188" s="12"/>
      <c r="Q188" s="12"/>
      <c r="R188" s="12"/>
      <c r="S188" s="12"/>
      <c r="T188" s="12"/>
      <c r="U188" s="12"/>
      <c r="V188" s="12"/>
      <c r="AH188" s="168"/>
      <c r="AI188" s="168">
        <f>F187*H187*(5.4+1.3)</f>
        <v>0</v>
      </c>
      <c r="AJ188" s="168">
        <f>F187*H187*4.1</f>
        <v>0</v>
      </c>
      <c r="AL188" s="168">
        <f>F187*H187*(1.7+0.9)</f>
        <v>0</v>
      </c>
      <c r="AM188" s="168">
        <f>F187*H187*(7.5+2.5)</f>
        <v>0</v>
      </c>
      <c r="AN188" s="168">
        <f>F187*H187*(7.3+7.3)</f>
        <v>0</v>
      </c>
      <c r="AO188" s="12"/>
      <c r="AP188" s="12"/>
      <c r="AQ188" s="12"/>
      <c r="AR188" s="12"/>
      <c r="AS188" s="12"/>
    </row>
    <row r="189" hidden="1">
      <c r="A189" s="16"/>
      <c r="B189" s="103" t="s">
        <v>467</v>
      </c>
      <c r="C189" s="104"/>
      <c r="D189" s="104" t="s">
        <v>585</v>
      </c>
      <c r="E189" s="104" t="s">
        <v>586</v>
      </c>
      <c r="F189" s="75">
        <v>0.0</v>
      </c>
      <c r="G189" s="227">
        <f>30*F189</f>
        <v>0</v>
      </c>
      <c r="H189" s="106">
        <v>0.25</v>
      </c>
      <c r="I189" s="228">
        <f>G189*H189</f>
        <v>0</v>
      </c>
      <c r="J189" s="107" t="s">
        <v>80</v>
      </c>
      <c r="K189" s="11"/>
      <c r="L189" s="16"/>
      <c r="M189" s="16"/>
      <c r="N189" s="16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AG189" s="12"/>
      <c r="AH189" s="35">
        <f>I189*20%</f>
        <v>0</v>
      </c>
      <c r="AI189" s="35">
        <f>I189*20%</f>
        <v>0</v>
      </c>
      <c r="AJ189" s="35"/>
      <c r="AK189" s="35">
        <f>I189*15%</f>
        <v>0</v>
      </c>
      <c r="AL189" s="35">
        <f>I189*40%</f>
        <v>0</v>
      </c>
      <c r="AM189" s="35">
        <f>I189*5%</f>
        <v>0</v>
      </c>
      <c r="AN189" s="35"/>
      <c r="AO189" s="12"/>
      <c r="AP189" s="12"/>
      <c r="AQ189" s="12"/>
      <c r="AR189" s="12"/>
      <c r="AS189" s="12"/>
    </row>
    <row r="190" hidden="1">
      <c r="A190" s="16"/>
      <c r="B190" s="103"/>
      <c r="C190" s="104"/>
      <c r="D190" s="104"/>
      <c r="E190" s="104"/>
      <c r="F190" s="75">
        <v>0.0</v>
      </c>
      <c r="G190" s="227"/>
      <c r="H190" s="106"/>
      <c r="I190" s="228"/>
      <c r="J190" s="107"/>
      <c r="K190" s="11"/>
      <c r="L190" s="16"/>
      <c r="M190" s="16"/>
      <c r="N190" s="16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AG190" s="12"/>
      <c r="AH190" s="100"/>
      <c r="AI190" s="100"/>
      <c r="AJ190" s="100"/>
      <c r="AK190" s="100">
        <f>F189*H189*1.4</f>
        <v>0</v>
      </c>
      <c r="AL190" s="100">
        <f>F189*H189*4.2</f>
        <v>0</v>
      </c>
      <c r="AM190" s="100">
        <f>F189*H189*4.2</f>
        <v>0</v>
      </c>
      <c r="AN190" s="100">
        <f>F189*H189*4.5</f>
        <v>0</v>
      </c>
      <c r="AO190" s="12"/>
      <c r="AP190" s="12"/>
      <c r="AQ190" s="12"/>
      <c r="AR190" s="12"/>
      <c r="AS190" s="12"/>
    </row>
    <row r="191" hidden="1">
      <c r="A191" s="16"/>
      <c r="B191" s="210" t="s">
        <v>467</v>
      </c>
      <c r="C191" s="170"/>
      <c r="D191" s="170" t="s">
        <v>587</v>
      </c>
      <c r="E191" s="170" t="s">
        <v>503</v>
      </c>
      <c r="F191" s="203">
        <v>0.0</v>
      </c>
      <c r="G191" s="205">
        <f>39*F191</f>
        <v>0</v>
      </c>
      <c r="H191" s="173">
        <v>0.5</v>
      </c>
      <c r="I191" s="207">
        <f>G191*H191</f>
        <v>0</v>
      </c>
      <c r="J191" s="174" t="s">
        <v>55</v>
      </c>
      <c r="K191" s="11"/>
      <c r="L191" s="16"/>
      <c r="M191" s="16"/>
      <c r="N191" s="16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AN191" s="12"/>
      <c r="AO191" s="12"/>
      <c r="AP191" s="12"/>
      <c r="AQ191" s="12"/>
      <c r="AR191" s="12"/>
      <c r="AS191" s="12"/>
    </row>
    <row r="192" hidden="1">
      <c r="A192" s="16"/>
      <c r="B192" s="169"/>
      <c r="C192" s="170"/>
      <c r="D192" s="170"/>
      <c r="E192" s="170"/>
      <c r="F192" s="203">
        <v>0.0</v>
      </c>
      <c r="G192" s="205"/>
      <c r="H192" s="173"/>
      <c r="I192" s="207"/>
      <c r="J192" s="174"/>
      <c r="K192" s="11"/>
      <c r="L192" s="16"/>
      <c r="M192" s="16"/>
      <c r="N192" s="16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AN192" s="12"/>
      <c r="AO192" s="12"/>
      <c r="AP192" s="12"/>
      <c r="AQ192" s="12"/>
      <c r="AR192" s="12"/>
      <c r="AS192" s="12"/>
    </row>
    <row r="193" hidden="1">
      <c r="A193" s="16"/>
      <c r="B193" s="169" t="s">
        <v>467</v>
      </c>
      <c r="C193" s="170"/>
      <c r="D193" s="170" t="s">
        <v>373</v>
      </c>
      <c r="E193" s="170" t="s">
        <v>106</v>
      </c>
      <c r="F193" s="203">
        <v>0.0</v>
      </c>
      <c r="G193" s="205">
        <f>F193*40</f>
        <v>0</v>
      </c>
      <c r="H193" s="173">
        <v>1.0</v>
      </c>
      <c r="I193" s="207">
        <f>G193*H193</f>
        <v>0</v>
      </c>
      <c r="J193" s="174" t="s">
        <v>55</v>
      </c>
      <c r="K193" s="11" t="s">
        <v>75</v>
      </c>
      <c r="L193" s="16"/>
      <c r="M193" s="16"/>
      <c r="N193" s="16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AF193" s="175">
        <f>I193*20%</f>
        <v>0</v>
      </c>
      <c r="AR193" s="12"/>
      <c r="AS193" s="12"/>
    </row>
    <row r="194" hidden="1">
      <c r="A194" s="16"/>
      <c r="B194" s="169"/>
      <c r="C194" s="170"/>
      <c r="D194" s="170"/>
      <c r="E194" s="170"/>
      <c r="F194" s="203">
        <v>0.0</v>
      </c>
      <c r="G194" s="205"/>
      <c r="H194" s="173"/>
      <c r="I194" s="207"/>
      <c r="J194" s="174"/>
      <c r="K194" s="11"/>
      <c r="L194" s="16"/>
      <c r="M194" s="16"/>
      <c r="N194" s="16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AF194" s="113"/>
      <c r="AR194" s="12"/>
      <c r="AS194" s="12"/>
    </row>
    <row r="195">
      <c r="A195" s="16"/>
      <c r="B195" s="210" t="s">
        <v>467</v>
      </c>
      <c r="C195" s="170"/>
      <c r="D195" s="170" t="s">
        <v>588</v>
      </c>
      <c r="E195" s="170" t="s">
        <v>589</v>
      </c>
      <c r="F195" s="203">
        <f>AD1</f>
        <v>1</v>
      </c>
      <c r="G195" s="205">
        <f>F195*30</f>
        <v>30</v>
      </c>
      <c r="H195" s="173">
        <v>0.6</v>
      </c>
      <c r="I195" s="207">
        <f>G195*H195</f>
        <v>18</v>
      </c>
      <c r="J195" s="174" t="s">
        <v>55</v>
      </c>
      <c r="K195" s="11"/>
      <c r="L195" s="16"/>
      <c r="M195" s="16"/>
      <c r="N195" s="16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AI195" s="403"/>
      <c r="AJ195" s="403"/>
      <c r="AK195" s="403"/>
      <c r="AL195" s="403"/>
      <c r="AM195" s="403"/>
      <c r="AN195" s="403"/>
      <c r="AO195" s="403"/>
      <c r="AP195" s="403"/>
      <c r="AQ195" s="403"/>
      <c r="AR195" s="403"/>
      <c r="AS195" s="12"/>
    </row>
    <row r="196">
      <c r="A196" s="16"/>
      <c r="B196" s="169"/>
      <c r="C196" s="170"/>
      <c r="D196" s="170"/>
      <c r="E196" s="170"/>
      <c r="F196" s="203">
        <f>AD1</f>
        <v>1</v>
      </c>
      <c r="G196" s="205"/>
      <c r="H196" s="173"/>
      <c r="I196" s="207"/>
      <c r="J196" s="174"/>
      <c r="K196" s="11"/>
      <c r="L196" s="16"/>
      <c r="M196" s="16"/>
      <c r="N196" s="16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AI196" s="403"/>
      <c r="AJ196" s="403"/>
      <c r="AK196" s="403"/>
      <c r="AL196" s="403"/>
      <c r="AM196" s="403"/>
      <c r="AN196" s="403"/>
      <c r="AO196" s="403"/>
      <c r="AP196" s="403"/>
      <c r="AQ196" s="403"/>
      <c r="AR196" s="403"/>
      <c r="AS196" s="12"/>
    </row>
    <row r="197" hidden="1">
      <c r="A197" s="16"/>
      <c r="B197" s="103" t="s">
        <v>467</v>
      </c>
      <c r="C197" s="104">
        <v>2.0</v>
      </c>
      <c r="D197" s="104" t="s">
        <v>590</v>
      </c>
      <c r="E197" s="104" t="s">
        <v>591</v>
      </c>
      <c r="F197" s="75">
        <v>0.0</v>
      </c>
      <c r="G197" s="227">
        <f>F197*13</f>
        <v>0</v>
      </c>
      <c r="H197" s="106">
        <v>0.9</v>
      </c>
      <c r="I197" s="228">
        <f>G197*H197</f>
        <v>0</v>
      </c>
      <c r="J197" s="107" t="s">
        <v>55</v>
      </c>
      <c r="K197" s="11"/>
      <c r="L197" s="16"/>
      <c r="M197" s="16"/>
      <c r="N197" s="16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AH197" s="94">
        <f>I197</f>
        <v>0</v>
      </c>
      <c r="AS197" s="12"/>
    </row>
    <row r="198" hidden="1">
      <c r="A198" s="16"/>
      <c r="B198" s="103"/>
      <c r="C198" s="104"/>
      <c r="D198" s="104"/>
      <c r="E198" s="104"/>
      <c r="F198" s="75">
        <v>0.0</v>
      </c>
      <c r="G198" s="227"/>
      <c r="H198" s="106"/>
      <c r="I198" s="228"/>
      <c r="J198" s="107"/>
      <c r="K198" s="11"/>
      <c r="L198" s="16"/>
      <c r="M198" s="16"/>
      <c r="N198" s="16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AS198" s="12"/>
    </row>
    <row r="199" hidden="1">
      <c r="A199" s="16"/>
      <c r="B199" s="103" t="s">
        <v>467</v>
      </c>
      <c r="C199" s="104">
        <v>3.0</v>
      </c>
      <c r="D199" s="104" t="s">
        <v>592</v>
      </c>
      <c r="E199" s="104" t="s">
        <v>106</v>
      </c>
      <c r="F199" s="75">
        <v>0.0</v>
      </c>
      <c r="G199" s="227">
        <f>F199*30</f>
        <v>0</v>
      </c>
      <c r="H199" s="106">
        <v>0.9</v>
      </c>
      <c r="I199" s="228">
        <f>G199*H199</f>
        <v>0</v>
      </c>
      <c r="J199" s="107" t="s">
        <v>55</v>
      </c>
      <c r="K199" s="11"/>
      <c r="L199" s="16"/>
      <c r="M199" s="16"/>
      <c r="N199" s="16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AH199" s="94">
        <f>I199</f>
        <v>0</v>
      </c>
      <c r="AS199" s="12"/>
    </row>
    <row r="200" hidden="1">
      <c r="A200" s="16"/>
      <c r="B200" s="103"/>
      <c r="C200" s="104"/>
      <c r="D200" s="104"/>
      <c r="E200" s="104"/>
      <c r="F200" s="75">
        <v>0.0</v>
      </c>
      <c r="G200" s="227"/>
      <c r="H200" s="106"/>
      <c r="I200" s="228"/>
      <c r="J200" s="107"/>
      <c r="K200" s="11"/>
      <c r="L200" s="16"/>
      <c r="M200" s="16"/>
      <c r="N200" s="16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AS200" s="12"/>
    </row>
    <row r="201">
      <c r="A201" s="16"/>
      <c r="B201" s="210" t="s">
        <v>467</v>
      </c>
      <c r="C201" s="170"/>
      <c r="D201" s="170" t="s">
        <v>593</v>
      </c>
      <c r="E201" s="170" t="s">
        <v>456</v>
      </c>
      <c r="F201" s="203">
        <v>1.0</v>
      </c>
      <c r="G201" s="205">
        <f>F201*86</f>
        <v>86</v>
      </c>
      <c r="H201" s="173">
        <v>0.9</v>
      </c>
      <c r="I201" s="207">
        <f>G201*H201</f>
        <v>77.4</v>
      </c>
      <c r="J201" s="174" t="s">
        <v>55</v>
      </c>
      <c r="K201" s="11"/>
      <c r="L201" s="16"/>
      <c r="M201" s="16"/>
      <c r="N201" s="16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AH201" s="94">
        <f>I201</f>
        <v>77.4</v>
      </c>
      <c r="AS201" s="12"/>
    </row>
    <row r="202">
      <c r="A202" s="16"/>
      <c r="B202" s="169"/>
      <c r="C202" s="170"/>
      <c r="D202" s="170"/>
      <c r="E202" s="170"/>
      <c r="F202" s="203">
        <v>1.0</v>
      </c>
      <c r="G202" s="205"/>
      <c r="H202" s="173"/>
      <c r="I202" s="207"/>
      <c r="J202" s="174"/>
      <c r="K202" s="11"/>
      <c r="L202" s="16"/>
      <c r="M202" s="16"/>
      <c r="N202" s="16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AS202" s="12"/>
    </row>
    <row r="203">
      <c r="A203" s="16"/>
      <c r="B203" s="210" t="s">
        <v>467</v>
      </c>
      <c r="C203" s="170"/>
      <c r="D203" s="170" t="s">
        <v>594</v>
      </c>
      <c r="E203" s="170" t="s">
        <v>503</v>
      </c>
      <c r="F203" s="203">
        <v>1.0</v>
      </c>
      <c r="G203" s="205">
        <f>F203*39</f>
        <v>39</v>
      </c>
      <c r="H203" s="173">
        <v>0.7</v>
      </c>
      <c r="I203" s="207">
        <f>G203*H203</f>
        <v>27.3</v>
      </c>
      <c r="J203" s="174" t="s">
        <v>55</v>
      </c>
      <c r="K203" s="11"/>
      <c r="L203" s="16"/>
      <c r="M203" s="16"/>
      <c r="N203" s="16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AI203" s="403"/>
      <c r="AJ203" s="403"/>
      <c r="AK203" s="403"/>
      <c r="AL203" s="403"/>
      <c r="AM203" s="403"/>
      <c r="AN203" s="403"/>
      <c r="AO203" s="403"/>
      <c r="AP203" s="403"/>
      <c r="AQ203" s="403"/>
      <c r="AR203" s="403"/>
      <c r="AS203" s="12"/>
    </row>
    <row r="204">
      <c r="A204" s="16"/>
      <c r="B204" s="169"/>
      <c r="C204" s="170"/>
      <c r="D204" s="170"/>
      <c r="E204" s="170"/>
      <c r="F204" s="203">
        <v>1.0</v>
      </c>
      <c r="G204" s="205"/>
      <c r="H204" s="173"/>
      <c r="I204" s="207"/>
      <c r="J204" s="174"/>
      <c r="K204" s="11"/>
      <c r="L204" s="16"/>
      <c r="M204" s="16"/>
      <c r="N204" s="16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AI204" s="403"/>
      <c r="AJ204" s="403"/>
      <c r="AK204" s="403"/>
      <c r="AL204" s="403"/>
      <c r="AM204" s="403"/>
      <c r="AN204" s="403"/>
      <c r="AO204" s="403"/>
      <c r="AP204" s="403"/>
      <c r="AQ204" s="403"/>
      <c r="AR204" s="403"/>
      <c r="AS204" s="12"/>
    </row>
    <row r="205">
      <c r="A205" s="16"/>
      <c r="B205" s="210" t="s">
        <v>467</v>
      </c>
      <c r="C205" s="170"/>
      <c r="D205" s="170" t="s">
        <v>271</v>
      </c>
      <c r="E205" s="170" t="s">
        <v>595</v>
      </c>
      <c r="F205" s="203">
        <v>1.0</v>
      </c>
      <c r="G205" s="205">
        <f>F205*33</f>
        <v>33</v>
      </c>
      <c r="H205" s="173">
        <v>0.9</v>
      </c>
      <c r="I205" s="207">
        <f>G205*H205</f>
        <v>29.7</v>
      </c>
      <c r="J205" s="174" t="s">
        <v>55</v>
      </c>
      <c r="K205" s="11"/>
      <c r="L205" s="16"/>
      <c r="M205" s="16"/>
      <c r="N205" s="16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AI205" s="403"/>
      <c r="AJ205" s="403"/>
      <c r="AK205" s="403"/>
      <c r="AL205" s="403"/>
      <c r="AM205" s="403"/>
      <c r="AN205" s="403"/>
      <c r="AO205" s="403"/>
      <c r="AP205" s="403"/>
      <c r="AQ205" s="403"/>
      <c r="AR205" s="403"/>
      <c r="AS205" s="12"/>
    </row>
    <row r="206">
      <c r="A206" s="16"/>
      <c r="B206" s="169"/>
      <c r="C206" s="170"/>
      <c r="D206" s="170"/>
      <c r="E206" s="170"/>
      <c r="F206" s="203">
        <v>1.0</v>
      </c>
      <c r="G206" s="205"/>
      <c r="H206" s="173"/>
      <c r="I206" s="207"/>
      <c r="J206" s="174"/>
      <c r="K206" s="11"/>
      <c r="L206" s="16"/>
      <c r="M206" s="16"/>
      <c r="N206" s="16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AI206" s="403"/>
      <c r="AJ206" s="403"/>
      <c r="AK206" s="403"/>
      <c r="AL206" s="403"/>
      <c r="AM206" s="403"/>
      <c r="AN206" s="403"/>
      <c r="AO206" s="403"/>
      <c r="AP206" s="403"/>
      <c r="AQ206" s="403"/>
      <c r="AR206" s="403"/>
      <c r="AS206" s="12"/>
    </row>
    <row r="207" hidden="1">
      <c r="A207" s="16"/>
      <c r="B207" s="210" t="s">
        <v>467</v>
      </c>
      <c r="C207" s="170">
        <v>12.0</v>
      </c>
      <c r="D207" s="170" t="s">
        <v>547</v>
      </c>
      <c r="E207" s="170" t="s">
        <v>548</v>
      </c>
      <c r="F207" s="171">
        <v>0.0</v>
      </c>
      <c r="G207" s="205">
        <f>F207*30</f>
        <v>0</v>
      </c>
      <c r="H207" s="173">
        <v>0.25</v>
      </c>
      <c r="I207" s="207">
        <f>G207*H207</f>
        <v>0</v>
      </c>
      <c r="J207" s="174" t="s">
        <v>80</v>
      </c>
      <c r="K207" s="11"/>
      <c r="L207" s="16"/>
      <c r="M207" s="16"/>
      <c r="N207" s="16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AG207" s="12"/>
      <c r="AH207" s="336">
        <f>I207*25%</f>
        <v>0</v>
      </c>
      <c r="AI207" s="336">
        <f>I207*20%</f>
        <v>0</v>
      </c>
      <c r="AJ207" s="336">
        <f>I207*50%</f>
        <v>0</v>
      </c>
      <c r="AK207" s="336">
        <f>I207*5%</f>
        <v>0</v>
      </c>
      <c r="AL207" s="337"/>
      <c r="AN207" s="12"/>
      <c r="AO207" s="12"/>
      <c r="AP207" s="12"/>
      <c r="AQ207" s="12"/>
      <c r="AR207" s="12"/>
      <c r="AS207" s="12"/>
    </row>
    <row r="208" hidden="1">
      <c r="A208" s="16"/>
      <c r="B208" s="169"/>
      <c r="C208" s="170"/>
      <c r="D208" s="170"/>
      <c r="E208" s="170"/>
      <c r="F208" s="318">
        <v>0.0</v>
      </c>
      <c r="G208" s="172"/>
      <c r="H208" s="173"/>
      <c r="I208" s="170"/>
      <c r="J208" s="384"/>
      <c r="K208" s="11"/>
      <c r="L208" s="16"/>
      <c r="M208" s="16"/>
      <c r="N208" s="16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AG208" s="12"/>
      <c r="AH208" s="386"/>
      <c r="AI208" s="386"/>
      <c r="AJ208" s="387">
        <f>12.6*H207*F208</f>
        <v>0</v>
      </c>
      <c r="AK208" s="387"/>
      <c r="AL208" s="398">
        <f>H207*13.5*F208</f>
        <v>0</v>
      </c>
      <c r="AN208" s="12"/>
      <c r="AO208" s="12"/>
      <c r="AP208" s="12"/>
      <c r="AQ208" s="12"/>
      <c r="AR208" s="12"/>
      <c r="AS208" s="12"/>
    </row>
    <row r="209" hidden="1">
      <c r="A209" s="16"/>
      <c r="B209" s="103" t="s">
        <v>103</v>
      </c>
      <c r="C209" s="104"/>
      <c r="D209" s="104" t="s">
        <v>596</v>
      </c>
      <c r="E209" s="104" t="s">
        <v>597</v>
      </c>
      <c r="F209" s="60">
        <v>0.0</v>
      </c>
      <c r="G209" s="105">
        <f>F209*3</f>
        <v>0</v>
      </c>
      <c r="H209" s="106">
        <v>0.5</v>
      </c>
      <c r="I209" s="104">
        <f>G209*H209</f>
        <v>0</v>
      </c>
      <c r="J209" s="107" t="s">
        <v>310</v>
      </c>
      <c r="K209" s="11"/>
      <c r="L209" s="16"/>
      <c r="M209" s="16"/>
      <c r="N209" s="16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AG209" s="12"/>
      <c r="AH209" s="12"/>
      <c r="AI209" s="12"/>
      <c r="AJ209" s="12"/>
      <c r="AK209" s="12"/>
      <c r="AL209" s="12"/>
      <c r="AN209" s="12"/>
      <c r="AO209" s="12"/>
      <c r="AP209" s="12"/>
      <c r="AQ209" s="12"/>
      <c r="AR209" s="12"/>
      <c r="AS209" s="12"/>
    </row>
    <row r="210" hidden="1">
      <c r="A210" s="16"/>
      <c r="B210" s="103"/>
      <c r="C210" s="104"/>
      <c r="D210" s="104"/>
      <c r="E210" s="104"/>
      <c r="F210" s="75">
        <v>0.0</v>
      </c>
      <c r="G210" s="105"/>
      <c r="H210" s="106"/>
      <c r="I210" s="104"/>
      <c r="J210" s="404"/>
      <c r="K210" s="11"/>
      <c r="L210" s="16"/>
      <c r="M210" s="16"/>
      <c r="N210" s="16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AG210" s="12"/>
      <c r="AH210" s="12"/>
      <c r="AI210" s="12"/>
      <c r="AJ210" s="12"/>
      <c r="AK210" s="12"/>
      <c r="AL210" s="12"/>
      <c r="AN210" s="12"/>
      <c r="AO210" s="12"/>
      <c r="AP210" s="12"/>
      <c r="AQ210" s="12"/>
      <c r="AR210" s="12"/>
      <c r="AS210" s="12"/>
    </row>
    <row r="211" hidden="1">
      <c r="A211" s="16"/>
      <c r="B211" s="169" t="s">
        <v>467</v>
      </c>
      <c r="C211" s="170"/>
      <c r="D211" s="170" t="s">
        <v>456</v>
      </c>
      <c r="E211" s="170"/>
      <c r="F211" s="171">
        <v>0.0</v>
      </c>
      <c r="G211" s="172">
        <f>F211*60</f>
        <v>0</v>
      </c>
      <c r="H211" s="173">
        <v>0.15</v>
      </c>
      <c r="I211" s="170">
        <f>G211*H211</f>
        <v>0</v>
      </c>
      <c r="J211" s="174" t="s">
        <v>15</v>
      </c>
      <c r="K211" s="11"/>
      <c r="L211" s="16"/>
      <c r="M211" s="16"/>
      <c r="N211" s="16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AG211" s="12"/>
      <c r="AH211" s="12"/>
      <c r="AI211" s="12"/>
      <c r="AJ211" s="12"/>
      <c r="AK211" s="12"/>
      <c r="AL211" s="12"/>
      <c r="AN211" s="12"/>
      <c r="AO211" s="12"/>
      <c r="AP211" s="12"/>
      <c r="AQ211" s="12"/>
      <c r="AR211" s="12"/>
      <c r="AS211" s="12"/>
    </row>
    <row r="212" hidden="1">
      <c r="A212" s="16"/>
      <c r="B212" s="169"/>
      <c r="C212" s="170"/>
      <c r="D212" s="170"/>
      <c r="E212" s="170"/>
      <c r="F212" s="318">
        <v>0.0</v>
      </c>
      <c r="G212" s="172"/>
      <c r="H212" s="173"/>
      <c r="I212" s="170"/>
      <c r="J212" s="384"/>
      <c r="K212" s="11"/>
      <c r="L212" s="16"/>
      <c r="M212" s="16"/>
      <c r="N212" s="16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AG212" s="12"/>
      <c r="AH212" s="12"/>
      <c r="AI212" s="12"/>
      <c r="AJ212" s="12"/>
      <c r="AK212" s="12"/>
      <c r="AL212" s="12"/>
      <c r="AN212" s="12"/>
      <c r="AO212" s="12"/>
      <c r="AP212" s="12"/>
      <c r="AQ212" s="12"/>
      <c r="AR212" s="12"/>
      <c r="AS212" s="12"/>
    </row>
    <row r="213">
      <c r="A213" s="47"/>
      <c r="B213" s="405" t="s">
        <v>50</v>
      </c>
      <c r="C213" s="406"/>
      <c r="D213" s="406"/>
      <c r="E213" s="406"/>
      <c r="F213" s="407"/>
      <c r="G213" s="408">
        <f>SUM(G183:G206)</f>
        <v>403</v>
      </c>
      <c r="H213" s="409"/>
      <c r="I213" s="408">
        <f>SUM(I183:I206)</f>
        <v>345.9</v>
      </c>
      <c r="J213" s="410"/>
      <c r="K213" s="11"/>
      <c r="L213" s="47"/>
      <c r="M213" s="47"/>
      <c r="N213" s="47"/>
      <c r="O213" s="55"/>
      <c r="P213" s="55"/>
      <c r="Q213" s="55"/>
      <c r="R213" s="55"/>
      <c r="S213" s="55"/>
      <c r="T213" s="55"/>
      <c r="U213" s="55"/>
      <c r="V213" s="55"/>
      <c r="X213" s="55"/>
      <c r="AN213" s="12"/>
      <c r="AP213" s="55"/>
      <c r="AQ213" s="55"/>
      <c r="AR213" s="55"/>
      <c r="AS213" s="12"/>
    </row>
    <row r="214">
      <c r="A214" s="16"/>
      <c r="B214" s="16"/>
      <c r="C214" s="16"/>
      <c r="D214" s="16"/>
      <c r="E214" s="16"/>
      <c r="F214" s="16"/>
      <c r="G214" s="411"/>
      <c r="H214" s="16"/>
      <c r="I214" s="411"/>
      <c r="J214" s="16"/>
      <c r="K214" s="16"/>
      <c r="L214" s="16"/>
      <c r="M214" s="16"/>
      <c r="N214" s="16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AA214" s="412" t="str">
        <f t="shared" ref="AA214:AC214" si="3">AA183+AA187+#REF!+AA101+AA103+AA232+AA129+AA131+AA105+AA246+AA133+AA137+AA139+AA236+AA143+AA230+AA254+AA250+AA189+AA207</f>
        <v>#REF!</v>
      </c>
      <c r="AB214" s="412" t="str">
        <f t="shared" si="3"/>
        <v>#REF!</v>
      </c>
      <c r="AC214" s="412" t="str">
        <f t="shared" si="3"/>
        <v>#REF!</v>
      </c>
      <c r="AD214" s="412">
        <f t="shared" ref="AD214:AR214" si="4">AD103+AD234+AD113+AD183+AD185+AD197+AD199+AD201+AD238</f>
        <v>0</v>
      </c>
      <c r="AE214" s="412">
        <f t="shared" si="4"/>
        <v>0</v>
      </c>
      <c r="AF214" s="412">
        <f t="shared" si="4"/>
        <v>38.7</v>
      </c>
      <c r="AG214" s="412">
        <f t="shared" si="4"/>
        <v>0</v>
      </c>
      <c r="AH214" s="412">
        <f t="shared" si="4"/>
        <v>96.75</v>
      </c>
      <c r="AI214" s="412">
        <f t="shared" si="4"/>
        <v>25.2</v>
      </c>
      <c r="AJ214" s="412">
        <f t="shared" si="4"/>
        <v>29.025</v>
      </c>
      <c r="AK214" s="412">
        <f t="shared" si="4"/>
        <v>51.3</v>
      </c>
      <c r="AL214" s="412">
        <f t="shared" si="4"/>
        <v>76.95</v>
      </c>
      <c r="AM214" s="412">
        <f t="shared" si="4"/>
        <v>9.675</v>
      </c>
      <c r="AN214" s="412">
        <f t="shared" si="4"/>
        <v>25.2</v>
      </c>
      <c r="AO214" s="412">
        <f t="shared" si="4"/>
        <v>37.8</v>
      </c>
      <c r="AP214" s="412">
        <f t="shared" si="4"/>
        <v>6.3</v>
      </c>
      <c r="AQ214" s="412">
        <f t="shared" si="4"/>
        <v>0</v>
      </c>
      <c r="AR214" s="412">
        <f t="shared" si="4"/>
        <v>0</v>
      </c>
      <c r="AS214" s="12"/>
    </row>
    <row r="215">
      <c r="A215" s="16"/>
      <c r="B215" s="83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AA215" s="412" t="str">
        <f t="shared" ref="AA215:AC215" si="5">AA184+AA188+#REF!+AA102+AA104+AA233+AA130+AA132+AA106+AA247+AA134+AA140+AA237+AA144+AA231+AA255+AA251+AA190+AA208</f>
        <v>#REF!</v>
      </c>
      <c r="AB215" s="412" t="str">
        <f t="shared" si="5"/>
        <v>#REF!</v>
      </c>
      <c r="AC215" s="412" t="str">
        <f t="shared" si="5"/>
        <v>#REF!</v>
      </c>
      <c r="AD215" s="412">
        <f t="shared" ref="AD215:AR215" si="6">AD104+AD235+AD114+AD184+AD186+AD198+AD200+AD202+AD239</f>
        <v>0</v>
      </c>
      <c r="AE215" s="412">
        <f t="shared" si="6"/>
        <v>0</v>
      </c>
      <c r="AF215" s="412">
        <f t="shared" si="6"/>
        <v>5.04</v>
      </c>
      <c r="AG215" s="412">
        <f t="shared" si="6"/>
        <v>0</v>
      </c>
      <c r="AH215" s="412">
        <f t="shared" si="6"/>
        <v>6.66</v>
      </c>
      <c r="AI215" s="412">
        <f t="shared" si="6"/>
        <v>0</v>
      </c>
      <c r="AJ215" s="412">
        <f t="shared" si="6"/>
        <v>26.82</v>
      </c>
      <c r="AK215" s="412">
        <f t="shared" si="6"/>
        <v>35.1</v>
      </c>
      <c r="AL215" s="412">
        <f t="shared" si="6"/>
        <v>29.34</v>
      </c>
      <c r="AM215" s="412">
        <f t="shared" si="6"/>
        <v>27.2</v>
      </c>
      <c r="AN215" s="412">
        <f t="shared" si="6"/>
        <v>27.3</v>
      </c>
      <c r="AO215" s="412">
        <f t="shared" si="6"/>
        <v>66.6</v>
      </c>
      <c r="AP215" s="412">
        <f t="shared" si="6"/>
        <v>11.9</v>
      </c>
      <c r="AQ215" s="412">
        <f t="shared" si="6"/>
        <v>0</v>
      </c>
      <c r="AR215" s="412">
        <f t="shared" si="6"/>
        <v>37.1</v>
      </c>
      <c r="AS215" s="12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AA216" s="12"/>
      <c r="AB216" s="12"/>
      <c r="AC216" s="12"/>
      <c r="AD216" s="12"/>
      <c r="AE216" s="12"/>
      <c r="AF216" s="413" t="str">
        <f t="shared" ref="AF216:AF217" si="7">SUM(AA214:AF214)</f>
        <v>#REF!</v>
      </c>
      <c r="AG216" s="12"/>
      <c r="AH216" s="12"/>
      <c r="AI216" s="12"/>
      <c r="AJ216" s="12"/>
      <c r="AK216" s="12"/>
      <c r="AL216" s="413" t="str">
        <f t="shared" ref="AL216:AL217" si="8">SUM(AA214:AL214)</f>
        <v>#REF!</v>
      </c>
      <c r="AM216" s="12"/>
      <c r="AN216" s="12"/>
      <c r="AO216" s="12"/>
      <c r="AP216" s="12"/>
      <c r="AQ216" s="12"/>
      <c r="AR216" s="12"/>
      <c r="AS216" s="12"/>
    </row>
    <row r="217">
      <c r="A217" s="16"/>
      <c r="B217" s="414"/>
      <c r="C217" s="415"/>
      <c r="D217" s="415"/>
      <c r="E217" s="415"/>
      <c r="F217" s="415"/>
      <c r="G217" s="415"/>
      <c r="H217" s="415"/>
      <c r="I217" s="416"/>
      <c r="J217" s="417"/>
      <c r="K217" s="11"/>
      <c r="L217" s="16"/>
      <c r="M217" s="16"/>
      <c r="N217" s="16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AA217" s="12"/>
      <c r="AB217" s="12"/>
      <c r="AC217" s="12"/>
      <c r="AD217" s="12"/>
      <c r="AE217" s="12"/>
      <c r="AF217" s="413" t="str">
        <f t="shared" si="7"/>
        <v>#REF!</v>
      </c>
      <c r="AG217" s="12"/>
      <c r="AH217" s="12"/>
      <c r="AI217" s="12"/>
      <c r="AJ217" s="12"/>
      <c r="AK217" s="12"/>
      <c r="AL217" s="413" t="str">
        <f t="shared" si="8"/>
        <v>#REF!</v>
      </c>
      <c r="AO217" s="418" t="str">
        <f>I214-AF216</f>
        <v>#REF!</v>
      </c>
      <c r="AP217" s="12"/>
      <c r="AQ217" s="12"/>
      <c r="AR217" s="12"/>
      <c r="AS217" s="12"/>
    </row>
    <row r="218">
      <c r="A218" s="16"/>
      <c r="B218" s="419" t="s">
        <v>37</v>
      </c>
      <c r="C218" s="209"/>
      <c r="D218" s="209" t="s">
        <v>598</v>
      </c>
      <c r="E218" s="209" t="s">
        <v>599</v>
      </c>
      <c r="F218" s="171">
        <v>1.0</v>
      </c>
      <c r="G218" s="420">
        <f>F218*21</f>
        <v>21</v>
      </c>
      <c r="H218" s="421">
        <v>0.25</v>
      </c>
      <c r="I218" s="385">
        <f>G218*H218</f>
        <v>5.25</v>
      </c>
      <c r="J218" s="174" t="s">
        <v>55</v>
      </c>
      <c r="K218" s="11"/>
      <c r="L218" s="16"/>
      <c r="M218" s="16"/>
      <c r="N218" s="16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AQ218" s="422">
        <f>SUM(AG214:AR214)</f>
        <v>358.2</v>
      </c>
      <c r="AR218" s="423" t="s">
        <v>600</v>
      </c>
      <c r="AS218" s="12"/>
    </row>
    <row r="219">
      <c r="A219" s="16"/>
      <c r="B219" s="169"/>
      <c r="C219" s="170"/>
      <c r="D219" s="170"/>
      <c r="E219" s="170"/>
      <c r="F219" s="178">
        <v>1.0</v>
      </c>
      <c r="G219" s="205"/>
      <c r="H219" s="173"/>
      <c r="I219" s="207"/>
      <c r="J219" s="174"/>
      <c r="K219" s="11"/>
      <c r="L219" s="16"/>
      <c r="M219" s="16"/>
      <c r="N219" s="16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AP219" s="12"/>
      <c r="AQ219" s="12"/>
      <c r="AR219" s="12"/>
      <c r="AS219" s="12"/>
    </row>
    <row r="220">
      <c r="A220" s="16"/>
      <c r="B220" s="169" t="s">
        <v>37</v>
      </c>
      <c r="C220" s="170"/>
      <c r="D220" s="170" t="s">
        <v>395</v>
      </c>
      <c r="E220" s="170" t="s">
        <v>601</v>
      </c>
      <c r="F220" s="203">
        <f>AD1</f>
        <v>1</v>
      </c>
      <c r="G220" s="205">
        <f>F220*140</f>
        <v>140</v>
      </c>
      <c r="H220" s="173">
        <v>0.6</v>
      </c>
      <c r="I220" s="207">
        <f>G220*H220</f>
        <v>84</v>
      </c>
      <c r="J220" s="174" t="s">
        <v>310</v>
      </c>
      <c r="K220" s="11"/>
      <c r="L220" s="16"/>
      <c r="M220" s="16"/>
      <c r="N220" s="16"/>
      <c r="O220" s="12"/>
      <c r="P220" s="12"/>
      <c r="Q220" s="12"/>
      <c r="R220" s="12"/>
      <c r="S220" s="12"/>
      <c r="T220" s="12"/>
      <c r="U220" s="12"/>
      <c r="V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>
      <c r="A221" s="16"/>
      <c r="B221" s="169"/>
      <c r="C221" s="170"/>
      <c r="D221" s="170"/>
      <c r="E221" s="170"/>
      <c r="F221" s="203">
        <f>AD1</f>
        <v>1</v>
      </c>
      <c r="G221" s="205"/>
      <c r="H221" s="173"/>
      <c r="I221" s="207"/>
      <c r="J221" s="174"/>
      <c r="K221" s="11"/>
      <c r="L221" s="16"/>
      <c r="M221" s="16"/>
      <c r="N221" s="16"/>
      <c r="O221" s="12"/>
      <c r="P221" s="12"/>
      <c r="Q221" s="12"/>
      <c r="R221" s="12"/>
      <c r="S221" s="12"/>
      <c r="T221" s="12"/>
      <c r="U221" s="12"/>
      <c r="V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>
      <c r="A222" s="16"/>
      <c r="B222" s="169" t="s">
        <v>37</v>
      </c>
      <c r="C222" s="170"/>
      <c r="D222" s="170" t="s">
        <v>367</v>
      </c>
      <c r="E222" s="170" t="s">
        <v>250</v>
      </c>
      <c r="F222" s="203">
        <f>AD1</f>
        <v>1</v>
      </c>
      <c r="G222" s="205">
        <f>F222*50</f>
        <v>50</v>
      </c>
      <c r="H222" s="173">
        <v>0.15</v>
      </c>
      <c r="I222" s="207">
        <f>G222*H222</f>
        <v>7.5</v>
      </c>
      <c r="J222" s="174" t="s">
        <v>80</v>
      </c>
      <c r="K222" s="11"/>
      <c r="L222" s="16"/>
      <c r="M222" s="16"/>
      <c r="N222" s="16"/>
      <c r="O222" s="12"/>
      <c r="P222" s="12"/>
      <c r="Q222" s="12"/>
      <c r="R222" s="12"/>
      <c r="S222" s="12"/>
      <c r="T222" s="12"/>
      <c r="U222" s="12"/>
      <c r="V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</row>
    <row r="223">
      <c r="A223" s="16"/>
      <c r="B223" s="169"/>
      <c r="C223" s="170"/>
      <c r="D223" s="170"/>
      <c r="E223" s="170"/>
      <c r="F223" s="178">
        <f>AD1</f>
        <v>1</v>
      </c>
      <c r="G223" s="205"/>
      <c r="H223" s="173"/>
      <c r="I223" s="207"/>
      <c r="J223" s="174"/>
      <c r="K223" s="11"/>
      <c r="L223" s="16"/>
      <c r="M223" s="16"/>
      <c r="N223" s="16"/>
      <c r="O223" s="12"/>
      <c r="P223" s="12"/>
      <c r="Q223" s="12"/>
      <c r="R223" s="12"/>
      <c r="S223" s="12"/>
      <c r="T223" s="12"/>
      <c r="U223" s="12"/>
      <c r="V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>
      <c r="A224" s="16"/>
      <c r="B224" s="169" t="s">
        <v>37</v>
      </c>
      <c r="C224" s="170"/>
      <c r="D224" s="170" t="s">
        <v>602</v>
      </c>
      <c r="E224" s="170" t="s">
        <v>603</v>
      </c>
      <c r="F224" s="203">
        <v>1.0</v>
      </c>
      <c r="G224" s="205">
        <f>F224*650</f>
        <v>650</v>
      </c>
      <c r="H224" s="173">
        <v>0.5</v>
      </c>
      <c r="I224" s="207">
        <f>G224*H224</f>
        <v>325</v>
      </c>
      <c r="J224" s="174" t="s">
        <v>55</v>
      </c>
      <c r="K224" s="11"/>
      <c r="L224" s="16"/>
      <c r="M224" s="16"/>
      <c r="N224" s="16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AN224" s="12"/>
      <c r="AO224" s="12"/>
      <c r="AP224" s="12"/>
      <c r="AQ224" s="12"/>
      <c r="AR224" s="12"/>
      <c r="AS224" s="12"/>
    </row>
    <row r="225">
      <c r="A225" s="16"/>
      <c r="B225" s="169"/>
      <c r="C225" s="170"/>
      <c r="D225" s="170"/>
      <c r="E225" s="170"/>
      <c r="F225" s="203">
        <v>1.0</v>
      </c>
      <c r="G225" s="205"/>
      <c r="H225" s="173"/>
      <c r="I225" s="207"/>
      <c r="J225" s="174"/>
      <c r="K225" s="11"/>
      <c r="L225" s="16"/>
      <c r="M225" s="16"/>
      <c r="N225" s="16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AN225" s="12"/>
      <c r="AO225" s="12"/>
      <c r="AP225" s="12"/>
      <c r="AQ225" s="12"/>
      <c r="AR225" s="12"/>
      <c r="AS225" s="12"/>
    </row>
    <row r="226">
      <c r="A226" s="16"/>
      <c r="B226" s="169" t="s">
        <v>37</v>
      </c>
      <c r="C226" s="170"/>
      <c r="D226" s="170" t="s">
        <v>604</v>
      </c>
      <c r="E226" s="170" t="s">
        <v>605</v>
      </c>
      <c r="F226" s="203">
        <v>1.0</v>
      </c>
      <c r="G226" s="205">
        <f>F226*25</f>
        <v>25</v>
      </c>
      <c r="H226" s="173">
        <v>0.5</v>
      </c>
      <c r="I226" s="207">
        <f>G226*H226</f>
        <v>12.5</v>
      </c>
      <c r="J226" s="174" t="s">
        <v>55</v>
      </c>
      <c r="K226" s="11"/>
      <c r="L226" s="16"/>
      <c r="M226" s="16"/>
      <c r="N226" s="16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AI226" s="403"/>
      <c r="AJ226" s="403"/>
      <c r="AK226" s="403"/>
      <c r="AL226" s="403"/>
      <c r="AM226" s="403"/>
      <c r="AN226" s="403"/>
      <c r="AO226" s="403"/>
      <c r="AP226" s="403"/>
      <c r="AQ226" s="403"/>
      <c r="AR226" s="403"/>
      <c r="AS226" s="12"/>
    </row>
    <row r="227">
      <c r="A227" s="16"/>
      <c r="B227" s="169"/>
      <c r="C227" s="170"/>
      <c r="D227" s="170"/>
      <c r="E227" s="170"/>
      <c r="F227" s="203">
        <v>1.0</v>
      </c>
      <c r="G227" s="205"/>
      <c r="H227" s="173"/>
      <c r="I227" s="207"/>
      <c r="J227" s="174"/>
      <c r="K227" s="11"/>
      <c r="L227" s="16"/>
      <c r="M227" s="16"/>
      <c r="N227" s="16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AI227" s="403"/>
      <c r="AJ227" s="403"/>
      <c r="AK227" s="403"/>
      <c r="AL227" s="403"/>
      <c r="AM227" s="403"/>
      <c r="AN227" s="403"/>
      <c r="AO227" s="403"/>
      <c r="AP227" s="403"/>
      <c r="AQ227" s="403"/>
      <c r="AR227" s="403"/>
      <c r="AS227" s="12"/>
    </row>
    <row r="228">
      <c r="A228" s="16"/>
      <c r="B228" s="169" t="s">
        <v>91</v>
      </c>
      <c r="C228" s="170"/>
      <c r="D228" s="170" t="s">
        <v>606</v>
      </c>
      <c r="E228" s="170" t="s">
        <v>106</v>
      </c>
      <c r="F228" s="203">
        <v>1.0</v>
      </c>
      <c r="G228" s="205">
        <f>F228*70</f>
        <v>70</v>
      </c>
      <c r="H228" s="173">
        <v>0.5</v>
      </c>
      <c r="I228" s="207">
        <f>G228*H228</f>
        <v>35</v>
      </c>
      <c r="J228" s="174" t="s">
        <v>55</v>
      </c>
      <c r="K228" s="11"/>
      <c r="L228" s="16"/>
      <c r="M228" s="16"/>
      <c r="N228" s="16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</row>
    <row r="229">
      <c r="A229" s="16"/>
      <c r="B229" s="169"/>
      <c r="C229" s="170"/>
      <c r="D229" s="170"/>
      <c r="E229" s="170"/>
      <c r="F229" s="203">
        <v>1.0</v>
      </c>
      <c r="G229" s="205"/>
      <c r="H229" s="173"/>
      <c r="I229" s="207"/>
      <c r="J229" s="174"/>
      <c r="K229" s="11"/>
      <c r="L229" s="16"/>
      <c r="M229" s="16"/>
      <c r="N229" s="16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AQ229" s="12"/>
      <c r="AR229" s="12"/>
      <c r="AS229" s="12"/>
    </row>
    <row r="230">
      <c r="A230" s="16"/>
      <c r="B230" s="169" t="s">
        <v>91</v>
      </c>
      <c r="C230" s="170"/>
      <c r="D230" s="170" t="s">
        <v>607</v>
      </c>
      <c r="E230" s="170" t="s">
        <v>608</v>
      </c>
      <c r="F230" s="171">
        <v>1.0</v>
      </c>
      <c r="G230" s="205">
        <f>F230*60</f>
        <v>60</v>
      </c>
      <c r="H230" s="173">
        <v>0.6</v>
      </c>
      <c r="I230" s="207">
        <f>G230*H230</f>
        <v>36</v>
      </c>
      <c r="J230" s="174" t="s">
        <v>55</v>
      </c>
      <c r="K230" s="102"/>
      <c r="L230" s="16"/>
      <c r="M230" s="16"/>
      <c r="N230" s="16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AQ230" s="12"/>
      <c r="AR230" s="12"/>
      <c r="AS230" s="12"/>
    </row>
    <row r="231">
      <c r="A231" s="16"/>
      <c r="B231" s="169"/>
      <c r="C231" s="170"/>
      <c r="D231" s="170"/>
      <c r="E231" s="170"/>
      <c r="F231" s="216">
        <v>1.0</v>
      </c>
      <c r="G231" s="205"/>
      <c r="H231" s="173"/>
      <c r="I231" s="207"/>
      <c r="J231" s="384"/>
      <c r="K231" s="102"/>
      <c r="L231" s="16"/>
      <c r="M231" s="16"/>
      <c r="N231" s="16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AQ231" s="12"/>
      <c r="AR231" s="12"/>
      <c r="AS231" s="12"/>
    </row>
    <row r="232">
      <c r="A232" s="16"/>
      <c r="B232" s="169" t="s">
        <v>91</v>
      </c>
      <c r="C232" s="170">
        <v>8.0</v>
      </c>
      <c r="D232" s="170" t="s">
        <v>43</v>
      </c>
      <c r="E232" s="170" t="s">
        <v>609</v>
      </c>
      <c r="F232" s="203">
        <v>1.0</v>
      </c>
      <c r="G232" s="205">
        <f>F232*40</f>
        <v>40</v>
      </c>
      <c r="H232" s="173">
        <v>0.5</v>
      </c>
      <c r="I232" s="207">
        <f>G232*H232</f>
        <v>20</v>
      </c>
      <c r="J232" s="174" t="s">
        <v>55</v>
      </c>
      <c r="K232" s="102" t="s">
        <v>75</v>
      </c>
      <c r="L232" s="16"/>
      <c r="M232" s="16"/>
      <c r="N232" s="16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AH232" s="35">
        <f>I232*10%</f>
        <v>2</v>
      </c>
      <c r="AI232" s="35">
        <f>I232*10%</f>
        <v>2</v>
      </c>
      <c r="AJ232" s="317">
        <f>I232*10%</f>
        <v>2</v>
      </c>
      <c r="AK232" s="317">
        <f>I232*15%</f>
        <v>3</v>
      </c>
      <c r="AL232" s="317">
        <f>I232*55%</f>
        <v>11</v>
      </c>
      <c r="AM232" s="90"/>
      <c r="AQ232" s="12"/>
      <c r="AR232" s="12"/>
      <c r="AS232" s="12"/>
    </row>
    <row r="233">
      <c r="A233" s="16"/>
      <c r="B233" s="169"/>
      <c r="C233" s="170"/>
      <c r="D233" s="170"/>
      <c r="E233" s="170"/>
      <c r="F233" s="203">
        <v>1.0</v>
      </c>
      <c r="G233" s="205"/>
      <c r="H233" s="173"/>
      <c r="I233" s="207"/>
      <c r="J233" s="174"/>
      <c r="K233" s="102"/>
      <c r="L233" s="16"/>
      <c r="M233" s="16"/>
      <c r="N233" s="16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AH233" s="168"/>
      <c r="AI233" s="168">
        <f>F232*H232*3.4</f>
        <v>1.7</v>
      </c>
      <c r="AJ233" s="168"/>
      <c r="AK233" s="168">
        <f>F232*H232*13</f>
        <v>6.5</v>
      </c>
      <c r="AL233" s="168">
        <f>F232*H232*13</f>
        <v>6.5</v>
      </c>
      <c r="AM233" s="168">
        <f>F232*H232*12</f>
        <v>6</v>
      </c>
      <c r="AQ233" s="12"/>
      <c r="AR233" s="12"/>
      <c r="AS233" s="12"/>
    </row>
    <row r="234">
      <c r="A234" s="16"/>
      <c r="B234" s="169" t="s">
        <v>42</v>
      </c>
      <c r="C234" s="170"/>
      <c r="D234" s="170" t="s">
        <v>610</v>
      </c>
      <c r="E234" s="170" t="s">
        <v>611</v>
      </c>
      <c r="F234" s="203">
        <v>1.0</v>
      </c>
      <c r="G234" s="205">
        <f>100*0</f>
        <v>0</v>
      </c>
      <c r="H234" s="173">
        <v>0.9</v>
      </c>
      <c r="I234" s="207">
        <f>G234*H234</f>
        <v>0</v>
      </c>
      <c r="J234" s="174" t="s">
        <v>55</v>
      </c>
      <c r="K234" s="102"/>
      <c r="L234" s="16"/>
      <c r="M234" s="16"/>
      <c r="N234" s="16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AF234" s="175">
        <f>I234*20%</f>
        <v>0</v>
      </c>
      <c r="AH234" s="175">
        <f>I234*20%</f>
        <v>0</v>
      </c>
      <c r="AJ234" s="175">
        <f>I234*15%</f>
        <v>0</v>
      </c>
      <c r="AL234" s="175">
        <f>I234*25%</f>
        <v>0</v>
      </c>
      <c r="AM234" s="175">
        <f>I234*20%</f>
        <v>0</v>
      </c>
      <c r="AQ234" s="12"/>
      <c r="AR234" s="12"/>
      <c r="AS234" s="12"/>
    </row>
    <row r="235">
      <c r="A235" s="16"/>
      <c r="B235" s="169"/>
      <c r="C235" s="170"/>
      <c r="D235" s="170"/>
      <c r="E235" s="170"/>
      <c r="F235" s="203">
        <v>1.0</v>
      </c>
      <c r="G235" s="205"/>
      <c r="H235" s="173"/>
      <c r="I235" s="207"/>
      <c r="J235" s="174"/>
      <c r="K235" s="102"/>
      <c r="L235" s="16"/>
      <c r="M235" s="16"/>
      <c r="N235" s="16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AF235" s="113">
        <f>F234*H234*2.8*2</f>
        <v>5.04</v>
      </c>
      <c r="AH235" s="113">
        <f>F234*H234*3.7*2</f>
        <v>6.66</v>
      </c>
      <c r="AJ235" s="113">
        <f>F234*H234*6.4*2</f>
        <v>11.52</v>
      </c>
      <c r="AL235" s="113">
        <f>F234*H234*2.8*2</f>
        <v>5.04</v>
      </c>
      <c r="AM235" s="113"/>
      <c r="AQ235" s="12"/>
      <c r="AR235" s="12"/>
      <c r="AS235" s="12"/>
    </row>
    <row r="236">
      <c r="A236" s="47"/>
      <c r="B236" s="169" t="s">
        <v>42</v>
      </c>
      <c r="C236" s="170"/>
      <c r="D236" s="170" t="s">
        <v>71</v>
      </c>
      <c r="E236" s="170" t="s">
        <v>612</v>
      </c>
      <c r="F236" s="203">
        <f>AD1</f>
        <v>1</v>
      </c>
      <c r="G236" s="205">
        <f>82*F236</f>
        <v>82</v>
      </c>
      <c r="H236" s="173">
        <v>0.6</v>
      </c>
      <c r="I236" s="207">
        <f>G236*H236</f>
        <v>49.2</v>
      </c>
      <c r="J236" s="338" t="s">
        <v>310</v>
      </c>
      <c r="K236" s="11" t="s">
        <v>138</v>
      </c>
      <c r="L236" s="47"/>
      <c r="M236" s="47"/>
      <c r="N236" s="47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AG236" s="35">
        <f>I236*10%*63%</f>
        <v>3.0996</v>
      </c>
      <c r="AI236" s="35">
        <f>F236*I236*15%*63%+F236*I236*50%*36%</f>
        <v>13.5054</v>
      </c>
      <c r="AK236" s="317">
        <f>I236*63%*15%</f>
        <v>4.6494</v>
      </c>
      <c r="AL236" s="90"/>
      <c r="AM236" s="90"/>
      <c r="AN236" s="317">
        <f>I236*63%*20%</f>
        <v>6.1992</v>
      </c>
      <c r="AO236" s="55"/>
      <c r="AP236" s="55"/>
      <c r="AQ236" s="55"/>
      <c r="AR236" s="55"/>
      <c r="AS236" s="55"/>
    </row>
    <row r="237">
      <c r="A237" s="47"/>
      <c r="B237" s="169"/>
      <c r="C237" s="170"/>
      <c r="D237" s="170"/>
      <c r="E237" s="170"/>
      <c r="F237" s="203">
        <f>AD1</f>
        <v>1</v>
      </c>
      <c r="G237" s="205"/>
      <c r="H237" s="173"/>
      <c r="I237" s="207"/>
      <c r="J237" s="338"/>
      <c r="K237" s="11"/>
      <c r="L237" s="47"/>
      <c r="M237" s="47"/>
      <c r="N237" s="47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AG237" s="209">
        <f>0.8*F236*H236</f>
        <v>0.48</v>
      </c>
      <c r="AI237" s="209">
        <f>F236*H236*1.9</f>
        <v>1.14</v>
      </c>
      <c r="AK237" s="209"/>
      <c r="AL237" s="209">
        <f>F236*H236*18.8</f>
        <v>11.28</v>
      </c>
      <c r="AM237" s="209">
        <f>F236*H236*18.8</f>
        <v>11.28</v>
      </c>
      <c r="AN237" s="209">
        <f>F236*H236*8.7</f>
        <v>5.22</v>
      </c>
      <c r="AO237" s="55"/>
      <c r="AP237" s="55"/>
      <c r="AQ237" s="55"/>
      <c r="AR237" s="55"/>
      <c r="AS237" s="55"/>
    </row>
    <row r="238">
      <c r="A238" s="16"/>
      <c r="B238" s="169" t="s">
        <v>42</v>
      </c>
      <c r="C238" s="170"/>
      <c r="D238" s="170" t="s">
        <v>157</v>
      </c>
      <c r="E238" s="170" t="s">
        <v>613</v>
      </c>
      <c r="F238" s="203">
        <v>1.0</v>
      </c>
      <c r="G238" s="205">
        <f>F238*180</f>
        <v>180</v>
      </c>
      <c r="H238" s="173">
        <v>0.7</v>
      </c>
      <c r="I238" s="207">
        <f>G238*H238</f>
        <v>126</v>
      </c>
      <c r="J238" s="174" t="s">
        <v>55</v>
      </c>
      <c r="K238" s="11"/>
      <c r="L238" s="16"/>
      <c r="M238" s="16"/>
      <c r="N238" s="16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AI238" s="175">
        <f>I238*20%</f>
        <v>25.2</v>
      </c>
      <c r="AJ238" s="175"/>
      <c r="AK238" s="175">
        <f>I238*10%</f>
        <v>12.6</v>
      </c>
      <c r="AL238" s="175">
        <f>I238*15%</f>
        <v>18.9</v>
      </c>
      <c r="AM238" s="175"/>
      <c r="AN238" s="175">
        <f>I238*20%</f>
        <v>25.2</v>
      </c>
      <c r="AO238" s="175">
        <f>I238*30%</f>
        <v>37.8</v>
      </c>
      <c r="AP238" s="175">
        <f>I238*5%</f>
        <v>6.3</v>
      </c>
      <c r="AQ238" s="175"/>
      <c r="AR238" s="175"/>
      <c r="AS238" s="12"/>
    </row>
    <row r="239">
      <c r="A239" s="16"/>
      <c r="B239" s="169"/>
      <c r="C239" s="170"/>
      <c r="D239" s="170"/>
      <c r="E239" s="170"/>
      <c r="F239" s="203">
        <v>1.0</v>
      </c>
      <c r="G239" s="205"/>
      <c r="H239" s="173"/>
      <c r="I239" s="207"/>
      <c r="J239" s="174"/>
      <c r="K239" s="11"/>
      <c r="L239" s="16"/>
      <c r="M239" s="16"/>
      <c r="N239" s="16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AG239" s="12"/>
      <c r="AI239" s="113"/>
      <c r="AJ239" s="113"/>
      <c r="AK239" s="113"/>
      <c r="AL239" s="113"/>
      <c r="AM239" s="113">
        <f>F238*H238*17</f>
        <v>11.9</v>
      </c>
      <c r="AN239" s="113">
        <f>F238*H238*39</f>
        <v>27.3</v>
      </c>
      <c r="AO239" s="113">
        <f>F238*H238*27</f>
        <v>18.9</v>
      </c>
      <c r="AP239" s="113">
        <f>F238*H238*17</f>
        <v>11.9</v>
      </c>
      <c r="AQ239" s="113"/>
      <c r="AR239" s="113">
        <f>F238*H238*53</f>
        <v>37.1</v>
      </c>
      <c r="AS239" s="12"/>
    </row>
    <row r="240">
      <c r="A240" s="16"/>
      <c r="B240" s="169" t="s">
        <v>42</v>
      </c>
      <c r="C240" s="170">
        <v>5.0</v>
      </c>
      <c r="D240" s="170" t="s">
        <v>38</v>
      </c>
      <c r="E240" s="170" t="s">
        <v>614</v>
      </c>
      <c r="F240" s="203">
        <v>1.0</v>
      </c>
      <c r="G240" s="205">
        <f>F240*73</f>
        <v>73</v>
      </c>
      <c r="H240" s="173">
        <v>0.5</v>
      </c>
      <c r="I240" s="207">
        <f>G240*H240</f>
        <v>36.5</v>
      </c>
      <c r="J240" s="174" t="s">
        <v>55</v>
      </c>
      <c r="K240" s="11" t="s">
        <v>583</v>
      </c>
      <c r="L240" s="16"/>
      <c r="M240" s="16"/>
      <c r="N240" s="16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AG240" s="175">
        <f>I240*20%</f>
        <v>7.3</v>
      </c>
      <c r="AI240" s="175">
        <f>I240*20%</f>
        <v>7.3</v>
      </c>
      <c r="AK240" s="175">
        <f>I240*15%</f>
        <v>5.475</v>
      </c>
      <c r="AL240" s="175">
        <f>I240*25%</f>
        <v>9.125</v>
      </c>
      <c r="AM240" s="175">
        <f>I240*20%</f>
        <v>7.3</v>
      </c>
      <c r="AN240" s="12"/>
      <c r="AO240" s="12"/>
      <c r="AP240" s="12"/>
      <c r="AQ240" s="12"/>
      <c r="AR240" s="12"/>
      <c r="AS240" s="12"/>
    </row>
    <row r="241">
      <c r="A241" s="16"/>
      <c r="B241" s="169"/>
      <c r="C241" s="170"/>
      <c r="D241" s="170"/>
      <c r="E241" s="170"/>
      <c r="F241" s="203">
        <v>1.0</v>
      </c>
      <c r="G241" s="205"/>
      <c r="H241" s="173"/>
      <c r="I241" s="207"/>
      <c r="J241" s="174"/>
      <c r="K241" s="11"/>
      <c r="L241" s="16"/>
      <c r="M241" s="16"/>
      <c r="N241" s="16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AG241" s="113">
        <f>F240*H240*2.8*2</f>
        <v>2.8</v>
      </c>
      <c r="AI241" s="113">
        <f>F240*H240*3.7*2</f>
        <v>3.7</v>
      </c>
      <c r="AK241" s="113">
        <f>F240*H240*6.4*2</f>
        <v>6.4</v>
      </c>
      <c r="AL241" s="113">
        <f>F240*H240*2.8*2</f>
        <v>2.8</v>
      </c>
      <c r="AM241" s="113"/>
      <c r="AN241" s="12"/>
      <c r="AO241" s="12"/>
      <c r="AP241" s="12"/>
      <c r="AQ241" s="12"/>
      <c r="AR241" s="12"/>
      <c r="AS241" s="12"/>
    </row>
    <row r="242">
      <c r="A242" s="16"/>
      <c r="B242" s="169">
        <v>2026.0</v>
      </c>
      <c r="C242" s="170">
        <v>11.0</v>
      </c>
      <c r="D242" s="170" t="s">
        <v>572</v>
      </c>
      <c r="E242" s="170" t="s">
        <v>615</v>
      </c>
      <c r="F242" s="203">
        <v>1.0</v>
      </c>
      <c r="G242" s="205">
        <f>F242*70</f>
        <v>70</v>
      </c>
      <c r="H242" s="173">
        <v>0.5</v>
      </c>
      <c r="I242" s="207">
        <f>G242*H242</f>
        <v>35</v>
      </c>
      <c r="J242" s="174" t="s">
        <v>55</v>
      </c>
      <c r="K242" s="11"/>
      <c r="L242" s="16"/>
      <c r="M242" s="16"/>
      <c r="N242" s="16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AG242" s="12"/>
      <c r="AH242" s="175">
        <f>I242*20%</f>
        <v>7</v>
      </c>
      <c r="AI242" s="175">
        <f>I242*20%</f>
        <v>7</v>
      </c>
      <c r="AJ242" s="175">
        <f>I242*15%</f>
        <v>5.25</v>
      </c>
      <c r="AK242" s="175">
        <f>I242*25%</f>
        <v>8.75</v>
      </c>
      <c r="AL242" s="175">
        <f>I242*20%</f>
        <v>7</v>
      </c>
      <c r="AM242" s="12"/>
      <c r="AN242" s="12"/>
      <c r="AO242" s="12"/>
      <c r="AP242" s="12"/>
      <c r="AQ242" s="12"/>
      <c r="AR242" s="12"/>
      <c r="AS242" s="12"/>
    </row>
    <row r="243">
      <c r="A243" s="16"/>
      <c r="B243" s="169"/>
      <c r="C243" s="170"/>
      <c r="D243" s="170"/>
      <c r="E243" s="170"/>
      <c r="F243" s="203">
        <v>1.0</v>
      </c>
      <c r="G243" s="205"/>
      <c r="H243" s="173"/>
      <c r="I243" s="207"/>
      <c r="J243" s="174"/>
      <c r="K243" s="11"/>
      <c r="L243" s="16"/>
      <c r="M243" s="16"/>
      <c r="N243" s="16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AG243" s="12"/>
      <c r="AH243" s="113">
        <f>F242*H242*2.8*2</f>
        <v>2.8</v>
      </c>
      <c r="AI243" s="113">
        <f>F242*H242*3.7*2</f>
        <v>3.7</v>
      </c>
      <c r="AJ243" s="113">
        <f>F242*H242*6.4*2</f>
        <v>6.4</v>
      </c>
      <c r="AK243" s="113">
        <f>F242*H242*2.8*2</f>
        <v>2.8</v>
      </c>
      <c r="AL243" s="113"/>
      <c r="AM243" s="12"/>
      <c r="AN243" s="12"/>
      <c r="AO243" s="12"/>
      <c r="AP243" s="12"/>
      <c r="AQ243" s="12"/>
      <c r="AR243" s="12"/>
      <c r="AS243" s="12"/>
    </row>
    <row r="244">
      <c r="A244" s="16"/>
      <c r="B244" s="169">
        <v>2026.0</v>
      </c>
      <c r="C244" s="170"/>
      <c r="D244" s="170" t="s">
        <v>71</v>
      </c>
      <c r="E244" s="170" t="s">
        <v>616</v>
      </c>
      <c r="F244" s="203">
        <v>1.0</v>
      </c>
      <c r="G244" s="205">
        <f>F244*2</f>
        <v>2</v>
      </c>
      <c r="H244" s="173">
        <v>0.7</v>
      </c>
      <c r="I244" s="207">
        <f>G244*H244</f>
        <v>1.4</v>
      </c>
      <c r="J244" s="174" t="s">
        <v>55</v>
      </c>
      <c r="K244" s="102"/>
      <c r="L244" s="16"/>
      <c r="M244" s="16"/>
      <c r="N244" s="16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AQ244" s="12"/>
      <c r="AR244" s="12"/>
      <c r="AS244" s="12"/>
    </row>
    <row r="245">
      <c r="A245" s="16"/>
      <c r="B245" s="169"/>
      <c r="C245" s="170"/>
      <c r="D245" s="170"/>
      <c r="E245" s="170"/>
      <c r="F245" s="203">
        <v>1.0</v>
      </c>
      <c r="G245" s="205"/>
      <c r="H245" s="173"/>
      <c r="I245" s="207"/>
      <c r="J245" s="174"/>
      <c r="K245" s="102"/>
      <c r="L245" s="16"/>
      <c r="M245" s="16"/>
      <c r="N245" s="16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AQ245" s="12"/>
      <c r="AR245" s="12"/>
      <c r="AS245" s="12"/>
    </row>
    <row r="246">
      <c r="A246" s="16"/>
      <c r="B246" s="169">
        <v>2026.0</v>
      </c>
      <c r="C246" s="170">
        <v>9.0</v>
      </c>
      <c r="D246" s="170" t="s">
        <v>617</v>
      </c>
      <c r="E246" s="170" t="s">
        <v>618</v>
      </c>
      <c r="F246" s="203">
        <v>1.0</v>
      </c>
      <c r="G246" s="205">
        <v>8.0</v>
      </c>
      <c r="H246" s="173">
        <v>0.5</v>
      </c>
      <c r="I246" s="207">
        <f>G246*H246</f>
        <v>4</v>
      </c>
      <c r="J246" s="174" t="s">
        <v>55</v>
      </c>
      <c r="K246" s="102"/>
      <c r="L246" s="16"/>
      <c r="M246" s="16"/>
      <c r="N246" s="16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AH246" s="32" t="str">
        <f t="shared" ref="AH246:AI246" si="9">#REF!*10%</f>
        <v>#REF!</v>
      </c>
      <c r="AI246" s="90" t="str">
        <f t="shared" si="9"/>
        <v>#REF!</v>
      </c>
      <c r="AJ246" s="90" t="str">
        <f>#REF!*15%</f>
        <v>#REF!</v>
      </c>
      <c r="AK246" s="90" t="str">
        <f>#REF!*55%</f>
        <v>#REF!</v>
      </c>
      <c r="AL246" s="90"/>
      <c r="AQ246" s="12"/>
      <c r="AR246" s="12"/>
      <c r="AS246" s="12"/>
    </row>
    <row r="247">
      <c r="A247" s="16"/>
      <c r="B247" s="169"/>
      <c r="C247" s="170"/>
      <c r="D247" s="170"/>
      <c r="E247" s="170"/>
      <c r="F247" s="203">
        <v>1.0</v>
      </c>
      <c r="G247" s="205"/>
      <c r="H247" s="173"/>
      <c r="I247" s="207"/>
      <c r="J247" s="174"/>
      <c r="K247" s="102"/>
      <c r="L247" s="16"/>
      <c r="M247" s="16"/>
      <c r="N247" s="16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AH247" s="168" t="str">
        <f>#REF!*#REF!*3.4</f>
        <v>#REF!</v>
      </c>
      <c r="AI247" s="168"/>
      <c r="AJ247" s="168" t="str">
        <f t="shared" ref="AJ247:AK247" si="10">#REF!*#REF!*13</f>
        <v>#REF!</v>
      </c>
      <c r="AK247" s="168" t="str">
        <f t="shared" si="10"/>
        <v>#REF!</v>
      </c>
      <c r="AL247" s="168" t="str">
        <f>#REF!*#REF!*12</f>
        <v>#REF!</v>
      </c>
      <c r="AQ247" s="12"/>
      <c r="AR247" s="12"/>
      <c r="AS247" s="12"/>
    </row>
    <row r="248">
      <c r="A248" s="16"/>
      <c r="B248" s="210" t="s">
        <v>467</v>
      </c>
      <c r="C248" s="170"/>
      <c r="D248" s="170" t="s">
        <v>193</v>
      </c>
      <c r="E248" s="170" t="s">
        <v>619</v>
      </c>
      <c r="F248" s="203">
        <f>AD1</f>
        <v>1</v>
      </c>
      <c r="G248" s="205">
        <f>F248*12</f>
        <v>12</v>
      </c>
      <c r="H248" s="173">
        <v>0.5</v>
      </c>
      <c r="I248" s="207">
        <f>G248*H248</f>
        <v>6</v>
      </c>
      <c r="J248" s="174" t="s">
        <v>310</v>
      </c>
      <c r="K248" s="11"/>
      <c r="L248" s="16"/>
      <c r="M248" s="16"/>
      <c r="N248" s="16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</row>
    <row r="249">
      <c r="A249" s="16"/>
      <c r="B249" s="169"/>
      <c r="C249" s="170"/>
      <c r="D249" s="170"/>
      <c r="E249" s="170"/>
      <c r="F249" s="203">
        <f>AD1</f>
        <v>1</v>
      </c>
      <c r="G249" s="205"/>
      <c r="H249" s="173"/>
      <c r="I249" s="207"/>
      <c r="J249" s="174"/>
      <c r="K249" s="11"/>
      <c r="L249" s="16"/>
      <c r="M249" s="16"/>
      <c r="N249" s="16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</row>
    <row r="250">
      <c r="A250" s="16"/>
      <c r="B250" s="169">
        <v>2026.0</v>
      </c>
      <c r="C250" s="170">
        <v>10.0</v>
      </c>
      <c r="D250" s="170" t="s">
        <v>620</v>
      </c>
      <c r="E250" s="170" t="s">
        <v>621</v>
      </c>
      <c r="F250" s="203">
        <v>1.0</v>
      </c>
      <c r="G250" s="205">
        <f>F250*35</f>
        <v>35</v>
      </c>
      <c r="H250" s="173">
        <v>0.6</v>
      </c>
      <c r="I250" s="207">
        <f>G250*H250</f>
        <v>21</v>
      </c>
      <c r="J250" s="174" t="s">
        <v>55</v>
      </c>
      <c r="K250" s="11"/>
      <c r="L250" s="16"/>
      <c r="M250" s="16"/>
      <c r="N250" s="16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AH250" s="175" t="str">
        <f t="shared" ref="AH250:AI250" si="11">#REF!*20%</f>
        <v>#REF!</v>
      </c>
      <c r="AI250" s="175" t="str">
        <f t="shared" si="11"/>
        <v>#REF!</v>
      </c>
      <c r="AJ250" s="175" t="str">
        <f>#REF!*15%</f>
        <v>#REF!</v>
      </c>
      <c r="AK250" s="175" t="str">
        <f>#REF!*25%</f>
        <v>#REF!</v>
      </c>
      <c r="AL250" s="175" t="str">
        <f>#REF!*20%</f>
        <v>#REF!</v>
      </c>
      <c r="AM250" s="12"/>
      <c r="AN250" s="12"/>
      <c r="AO250" s="12"/>
      <c r="AP250" s="12"/>
      <c r="AQ250" s="12"/>
      <c r="AR250" s="12"/>
      <c r="AS250" s="12"/>
    </row>
    <row r="251">
      <c r="A251" s="16"/>
      <c r="B251" s="169"/>
      <c r="C251" s="170"/>
      <c r="D251" s="170"/>
      <c r="E251" s="170"/>
      <c r="F251" s="203">
        <v>1.0</v>
      </c>
      <c r="G251" s="205"/>
      <c r="H251" s="173"/>
      <c r="I251" s="207"/>
      <c r="J251" s="174"/>
      <c r="K251" s="11"/>
      <c r="L251" s="16"/>
      <c r="M251" s="16"/>
      <c r="N251" s="16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AH251" s="113" t="str">
        <f>#REF!*#REF!*2.8*2</f>
        <v>#REF!</v>
      </c>
      <c r="AI251" s="113" t="str">
        <f>#REF!*#REF!*3.7*2</f>
        <v>#REF!</v>
      </c>
      <c r="AJ251" s="113" t="str">
        <f>#REF!*#REF!*6.4*2</f>
        <v>#REF!</v>
      </c>
      <c r="AK251" s="113" t="str">
        <f>#REF!*#REF!*2.8*2</f>
        <v>#REF!</v>
      </c>
      <c r="AL251" s="113"/>
      <c r="AM251" s="12"/>
      <c r="AN251" s="12"/>
      <c r="AO251" s="12"/>
      <c r="AP251" s="12"/>
      <c r="AQ251" s="12"/>
      <c r="AR251" s="12"/>
      <c r="AS251" s="12"/>
    </row>
    <row r="252">
      <c r="A252" s="16"/>
      <c r="B252" s="169" t="s">
        <v>77</v>
      </c>
      <c r="C252" s="170"/>
      <c r="D252" s="170" t="s">
        <v>607</v>
      </c>
      <c r="E252" s="170" t="s">
        <v>622</v>
      </c>
      <c r="F252" s="171">
        <v>1.0</v>
      </c>
      <c r="G252" s="205">
        <f>F252*85</f>
        <v>85</v>
      </c>
      <c r="H252" s="173">
        <v>0.5</v>
      </c>
      <c r="I252" s="207">
        <f>G252*H252</f>
        <v>42.5</v>
      </c>
      <c r="J252" s="174" t="s">
        <v>55</v>
      </c>
      <c r="K252" s="102"/>
      <c r="L252" s="16"/>
      <c r="M252" s="16"/>
      <c r="N252" s="16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AQ252" s="12"/>
      <c r="AR252" s="12"/>
      <c r="AS252" s="12"/>
    </row>
    <row r="253">
      <c r="A253" s="16"/>
      <c r="B253" s="169"/>
      <c r="C253" s="170"/>
      <c r="D253" s="170"/>
      <c r="E253" s="170"/>
      <c r="F253" s="216">
        <v>1.0</v>
      </c>
      <c r="G253" s="205"/>
      <c r="H253" s="173"/>
      <c r="I253" s="207"/>
      <c r="J253" s="384"/>
      <c r="K253" s="102"/>
      <c r="L253" s="16"/>
      <c r="M253" s="16"/>
      <c r="N253" s="16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AQ253" s="12"/>
      <c r="AR253" s="12"/>
      <c r="AS253" s="12"/>
    </row>
    <row r="254">
      <c r="A254" s="47"/>
      <c r="B254" s="424" t="s">
        <v>42</v>
      </c>
      <c r="C254" s="170">
        <v>10.0</v>
      </c>
      <c r="D254" s="170" t="s">
        <v>623</v>
      </c>
      <c r="E254" s="170" t="s">
        <v>624</v>
      </c>
      <c r="F254" s="171">
        <f>AD1</f>
        <v>1</v>
      </c>
      <c r="G254" s="205">
        <f>F254*120</f>
        <v>120</v>
      </c>
      <c r="H254" s="173">
        <v>0.25</v>
      </c>
      <c r="I254" s="207">
        <f>G254*H254</f>
        <v>30</v>
      </c>
      <c r="J254" s="338" t="s">
        <v>80</v>
      </c>
      <c r="K254" s="102"/>
      <c r="L254" s="47"/>
      <c r="M254" s="47"/>
      <c r="N254" s="47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AG254" s="336">
        <f>I254*25%</f>
        <v>7.5</v>
      </c>
      <c r="AJ254" s="336">
        <f>I254*20%</f>
        <v>6</v>
      </c>
      <c r="AK254" s="336">
        <f>I254*50%</f>
        <v>15</v>
      </c>
      <c r="AL254" s="336">
        <f>I254*5%</f>
        <v>1.5</v>
      </c>
      <c r="AM254" s="337"/>
      <c r="AP254" s="55"/>
      <c r="AQ254" s="55"/>
      <c r="AR254" s="55"/>
      <c r="AS254" s="55"/>
    </row>
    <row r="255">
      <c r="A255" s="47"/>
      <c r="B255" s="169"/>
      <c r="C255" s="170"/>
      <c r="D255" s="170"/>
      <c r="E255" s="170"/>
      <c r="F255" s="216">
        <f>AD1</f>
        <v>1</v>
      </c>
      <c r="G255" s="205"/>
      <c r="H255" s="173"/>
      <c r="I255" s="207"/>
      <c r="J255" s="338"/>
      <c r="K255" s="102"/>
      <c r="L255" s="47"/>
      <c r="M255" s="47"/>
      <c r="N255" s="47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AG255" s="386"/>
      <c r="AJ255" s="386"/>
      <c r="AK255" s="387">
        <f>12.6*H254*F255</f>
        <v>3.15</v>
      </c>
      <c r="AL255" s="387"/>
      <c r="AM255" s="398">
        <f>H254*13.5*F255</f>
        <v>3.375</v>
      </c>
      <c r="AP255" s="55"/>
      <c r="AQ255" s="55"/>
      <c r="AR255" s="55"/>
      <c r="AS255" s="55"/>
    </row>
    <row r="256">
      <c r="A256" s="16"/>
      <c r="B256" s="169" t="s">
        <v>42</v>
      </c>
      <c r="C256" s="170"/>
      <c r="D256" s="170" t="s">
        <v>395</v>
      </c>
      <c r="E256" s="170" t="s">
        <v>625</v>
      </c>
      <c r="F256" s="203">
        <f>AD1</f>
        <v>1</v>
      </c>
      <c r="G256" s="205">
        <f>F256*600</f>
        <v>600</v>
      </c>
      <c r="H256" s="173">
        <v>0.1</v>
      </c>
      <c r="I256" s="207">
        <f>G256*H256</f>
        <v>60</v>
      </c>
      <c r="J256" s="174" t="s">
        <v>15</v>
      </c>
      <c r="K256" s="11"/>
      <c r="L256" s="16"/>
      <c r="M256" s="16"/>
      <c r="N256" s="16"/>
      <c r="O256" s="12"/>
      <c r="P256" s="12"/>
      <c r="Q256" s="12"/>
      <c r="R256" s="12"/>
      <c r="S256" s="12"/>
      <c r="T256" s="12"/>
      <c r="U256" s="12"/>
      <c r="V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</row>
    <row r="257">
      <c r="A257" s="16"/>
      <c r="B257" s="169"/>
      <c r="C257" s="170"/>
      <c r="D257" s="170"/>
      <c r="E257" s="170"/>
      <c r="F257" s="178">
        <f>AD1</f>
        <v>1</v>
      </c>
      <c r="G257" s="205"/>
      <c r="H257" s="173"/>
      <c r="I257" s="207"/>
      <c r="J257" s="174"/>
      <c r="K257" s="11"/>
      <c r="L257" s="16"/>
      <c r="M257" s="16"/>
      <c r="N257" s="16"/>
      <c r="O257" s="12"/>
      <c r="P257" s="12"/>
      <c r="Q257" s="12"/>
      <c r="R257" s="12"/>
      <c r="S257" s="12"/>
      <c r="T257" s="12"/>
      <c r="U257" s="12"/>
      <c r="V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</row>
    <row r="258">
      <c r="A258" s="16"/>
      <c r="B258" s="425" t="s">
        <v>47</v>
      </c>
      <c r="C258" s="426"/>
      <c r="D258" s="426"/>
      <c r="E258" s="426"/>
      <c r="F258" s="427"/>
      <c r="G258" s="428">
        <f>SUM(G218:G256)</f>
        <v>2323</v>
      </c>
      <c r="H258" s="429"/>
      <c r="I258" s="428">
        <f>SUM(I218:I256)</f>
        <v>936.85</v>
      </c>
      <c r="J258" s="430"/>
      <c r="K258" s="11"/>
      <c r="L258" s="16"/>
      <c r="M258" s="16"/>
      <c r="N258" s="16"/>
      <c r="O258" s="12"/>
      <c r="P258" s="12"/>
      <c r="Q258" s="12"/>
      <c r="R258" s="12"/>
      <c r="S258" s="12"/>
      <c r="T258" s="12"/>
      <c r="U258" s="12"/>
      <c r="V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</row>
    <row r="259">
      <c r="A259" s="16"/>
      <c r="B259" s="169" t="s">
        <v>77</v>
      </c>
      <c r="C259" s="170"/>
      <c r="D259" s="170" t="s">
        <v>478</v>
      </c>
      <c r="E259" s="170" t="s">
        <v>325</v>
      </c>
      <c r="F259" s="203">
        <f>AD1</f>
        <v>1</v>
      </c>
      <c r="G259" s="205">
        <f>F259*300</f>
        <v>300</v>
      </c>
      <c r="H259" s="173">
        <v>0.05</v>
      </c>
      <c r="I259" s="207">
        <f>G259*H259</f>
        <v>15</v>
      </c>
      <c r="J259" s="174" t="s">
        <v>80</v>
      </c>
      <c r="K259" s="11"/>
      <c r="L259" s="16"/>
      <c r="M259" s="16"/>
      <c r="N259" s="16"/>
      <c r="O259" s="12"/>
      <c r="P259" s="12"/>
      <c r="Q259" s="12"/>
      <c r="R259" s="12"/>
      <c r="S259" s="12"/>
      <c r="T259" s="12"/>
      <c r="U259" s="12"/>
      <c r="V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</row>
    <row r="260">
      <c r="A260" s="16"/>
      <c r="B260" s="169"/>
      <c r="C260" s="170"/>
      <c r="D260" s="170"/>
      <c r="E260" s="170"/>
      <c r="F260" s="178">
        <f>AD1</f>
        <v>1</v>
      </c>
      <c r="G260" s="205"/>
      <c r="H260" s="173"/>
      <c r="I260" s="207"/>
      <c r="J260" s="174"/>
      <c r="K260" s="11"/>
      <c r="L260" s="16"/>
      <c r="M260" s="16"/>
      <c r="N260" s="16"/>
      <c r="O260" s="12"/>
      <c r="P260" s="12"/>
      <c r="Q260" s="12"/>
      <c r="R260" s="12"/>
      <c r="S260" s="12"/>
      <c r="T260" s="12"/>
      <c r="U260" s="12"/>
      <c r="V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</row>
    <row r="261">
      <c r="A261" s="16"/>
      <c r="B261" s="169" t="s">
        <v>103</v>
      </c>
      <c r="C261" s="170"/>
      <c r="D261" s="170" t="s">
        <v>626</v>
      </c>
      <c r="E261" s="170" t="s">
        <v>124</v>
      </c>
      <c r="F261" s="203">
        <f>AD1</f>
        <v>1</v>
      </c>
      <c r="G261" s="205">
        <f>F261*22</f>
        <v>22</v>
      </c>
      <c r="H261" s="173">
        <v>0.15</v>
      </c>
      <c r="I261" s="207">
        <f>G261*H261</f>
        <v>3.3</v>
      </c>
      <c r="J261" s="174" t="s">
        <v>15</v>
      </c>
      <c r="K261" s="11"/>
      <c r="L261" s="16"/>
      <c r="M261" s="16"/>
      <c r="N261" s="16"/>
      <c r="O261" s="12"/>
      <c r="P261" s="12"/>
      <c r="Q261" s="12"/>
      <c r="R261" s="12"/>
      <c r="S261" s="12"/>
      <c r="T261" s="12"/>
      <c r="U261" s="12"/>
      <c r="V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</row>
    <row r="262">
      <c r="A262" s="16"/>
      <c r="B262" s="169"/>
      <c r="C262" s="170"/>
      <c r="D262" s="170"/>
      <c r="E262" s="170"/>
      <c r="F262" s="178">
        <f>AD1</f>
        <v>1</v>
      </c>
      <c r="G262" s="205"/>
      <c r="H262" s="173"/>
      <c r="I262" s="207"/>
      <c r="J262" s="174"/>
      <c r="K262" s="11"/>
      <c r="L262" s="16"/>
      <c r="M262" s="16"/>
      <c r="N262" s="16"/>
      <c r="O262" s="12"/>
      <c r="P262" s="12"/>
      <c r="Q262" s="12"/>
      <c r="R262" s="12"/>
      <c r="S262" s="12"/>
      <c r="T262" s="12"/>
      <c r="U262" s="12"/>
      <c r="V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</row>
    <row r="263">
      <c r="A263" s="16"/>
      <c r="B263" s="425" t="s">
        <v>48</v>
      </c>
      <c r="C263" s="426"/>
      <c r="D263" s="426"/>
      <c r="E263" s="426"/>
      <c r="F263" s="427"/>
      <c r="G263" s="428">
        <f>SUM(G259:G261)</f>
        <v>322</v>
      </c>
      <c r="H263" s="429"/>
      <c r="I263" s="428">
        <f>SUM(I259:I261)</f>
        <v>18.3</v>
      </c>
      <c r="J263" s="430"/>
      <c r="K263" s="11"/>
      <c r="L263" s="16"/>
      <c r="M263" s="16"/>
      <c r="N263" s="16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AN263" s="12"/>
      <c r="AO263" s="12"/>
      <c r="AP263" s="12"/>
      <c r="AQ263" s="12"/>
      <c r="AR263" s="12"/>
      <c r="AS263" s="12"/>
    </row>
    <row r="264">
      <c r="A264" s="16"/>
      <c r="B264" s="83"/>
      <c r="C264" s="16"/>
      <c r="D264" s="16"/>
      <c r="E264" s="16"/>
      <c r="F264" s="171">
        <v>1.0</v>
      </c>
      <c r="G264" s="431">
        <f>G258+G263</f>
        <v>2645</v>
      </c>
      <c r="H264" s="432"/>
      <c r="I264" s="431">
        <f>I258+I263</f>
        <v>955.15</v>
      </c>
      <c r="J264" s="433"/>
      <c r="K264" s="37"/>
      <c r="L264" s="412" t="str">
        <f t="shared" ref="L264:Z264" si="12">L27+L33+L35+L69+L107+L109+#REF!+L111+L103+L236+L139+L230+L254+L155+L207</f>
        <v>#REF!</v>
      </c>
      <c r="M264" s="412" t="str">
        <f t="shared" si="12"/>
        <v>#REF!</v>
      </c>
      <c r="N264" s="412" t="str">
        <f t="shared" si="12"/>
        <v>#REF!</v>
      </c>
      <c r="O264" s="412" t="str">
        <f t="shared" si="12"/>
        <v>#REF!</v>
      </c>
      <c r="P264" s="412" t="str">
        <f t="shared" si="12"/>
        <v>#REF!</v>
      </c>
      <c r="Q264" s="412" t="str">
        <f t="shared" si="12"/>
        <v>#REF!</v>
      </c>
      <c r="R264" s="412" t="str">
        <f t="shared" si="12"/>
        <v>#REF!</v>
      </c>
      <c r="S264" s="412" t="str">
        <f t="shared" si="12"/>
        <v>#REF!</v>
      </c>
      <c r="T264" s="412" t="str">
        <f t="shared" si="12"/>
        <v>#REF!</v>
      </c>
      <c r="U264" s="412" t="str">
        <f t="shared" si="12"/>
        <v>#REF!</v>
      </c>
      <c r="V264" s="412" t="str">
        <f t="shared" si="12"/>
        <v>#REF!</v>
      </c>
      <c r="W264" s="412" t="str">
        <f t="shared" si="12"/>
        <v>#REF!</v>
      </c>
      <c r="X264" s="412" t="str">
        <f t="shared" si="12"/>
        <v>#REF!</v>
      </c>
      <c r="Y264" s="412" t="str">
        <f t="shared" si="12"/>
        <v>#REF!</v>
      </c>
      <c r="Z264" s="412" t="str">
        <f t="shared" si="12"/>
        <v>#REF!</v>
      </c>
      <c r="AA264" s="412">
        <f t="shared" ref="AA264:AL264" si="13">AA218+AA222</f>
        <v>0</v>
      </c>
      <c r="AB264" s="412">
        <f t="shared" si="13"/>
        <v>0</v>
      </c>
      <c r="AC264" s="412">
        <f t="shared" si="13"/>
        <v>0</v>
      </c>
      <c r="AD264" s="412">
        <f t="shared" si="13"/>
        <v>0</v>
      </c>
      <c r="AE264" s="412">
        <f t="shared" si="13"/>
        <v>0</v>
      </c>
      <c r="AF264" s="412">
        <f t="shared" si="13"/>
        <v>0</v>
      </c>
      <c r="AG264" s="412">
        <f t="shared" si="13"/>
        <v>0</v>
      </c>
      <c r="AH264" s="412">
        <f t="shared" si="13"/>
        <v>0</v>
      </c>
      <c r="AI264" s="412">
        <f t="shared" si="13"/>
        <v>0</v>
      </c>
      <c r="AJ264" s="412">
        <f t="shared" si="13"/>
        <v>0</v>
      </c>
      <c r="AK264" s="412">
        <f t="shared" si="13"/>
        <v>0</v>
      </c>
      <c r="AL264" s="412">
        <f t="shared" si="13"/>
        <v>0</v>
      </c>
      <c r="AP264" s="12"/>
      <c r="AQ264" s="12"/>
      <c r="AR264" s="12"/>
      <c r="AS264" s="12"/>
    </row>
    <row r="265">
      <c r="A265" s="16"/>
      <c r="B265" s="16"/>
      <c r="C265" s="16"/>
      <c r="D265" s="16"/>
      <c r="E265" s="16"/>
      <c r="F265" s="83" t="s">
        <v>627</v>
      </c>
      <c r="G265" s="434"/>
      <c r="H265" s="16"/>
      <c r="I265" s="434"/>
      <c r="J265" s="433"/>
      <c r="K265" s="37"/>
      <c r="L265" s="412" t="str">
        <f t="shared" ref="L265:Z265" si="14">L28+L34+L36+L70+L108+L110+#REF!+L112+L104+L237+L140+L231+L255+L156+L208</f>
        <v>#REF!</v>
      </c>
      <c r="M265" s="412" t="str">
        <f t="shared" si="14"/>
        <v>#REF!</v>
      </c>
      <c r="N265" s="412" t="str">
        <f t="shared" si="14"/>
        <v>#REF!</v>
      </c>
      <c r="O265" s="412" t="str">
        <f t="shared" si="14"/>
        <v>#REF!</v>
      </c>
      <c r="P265" s="412" t="str">
        <f t="shared" si="14"/>
        <v>#REF!</v>
      </c>
      <c r="Q265" s="412" t="str">
        <f t="shared" si="14"/>
        <v>#REF!</v>
      </c>
      <c r="R265" s="412" t="str">
        <f t="shared" si="14"/>
        <v>#REF!</v>
      </c>
      <c r="S265" s="412" t="str">
        <f t="shared" si="14"/>
        <v>#REF!</v>
      </c>
      <c r="T265" s="412" t="str">
        <f t="shared" si="14"/>
        <v>#REF!</v>
      </c>
      <c r="U265" s="412" t="str">
        <f t="shared" si="14"/>
        <v>#REF!</v>
      </c>
      <c r="V265" s="412" t="str">
        <f t="shared" si="14"/>
        <v>#REF!</v>
      </c>
      <c r="W265" s="412" t="str">
        <f t="shared" si="14"/>
        <v>#REF!</v>
      </c>
      <c r="X265" s="412" t="str">
        <f t="shared" si="14"/>
        <v>#REF!</v>
      </c>
      <c r="Y265" s="412" t="str">
        <f t="shared" si="14"/>
        <v>#REF!</v>
      </c>
      <c r="Z265" s="412" t="str">
        <f t="shared" si="14"/>
        <v>#REF!</v>
      </c>
      <c r="AA265" s="412">
        <f t="shared" ref="AA265:AL265" si="15">AA219+AA223</f>
        <v>0</v>
      </c>
      <c r="AB265" s="412">
        <f t="shared" si="15"/>
        <v>0</v>
      </c>
      <c r="AC265" s="412">
        <f t="shared" si="15"/>
        <v>0</v>
      </c>
      <c r="AD265" s="412">
        <f t="shared" si="15"/>
        <v>0</v>
      </c>
      <c r="AE265" s="412">
        <f t="shared" si="15"/>
        <v>0</v>
      </c>
      <c r="AF265" s="412">
        <f t="shared" si="15"/>
        <v>0</v>
      </c>
      <c r="AG265" s="412">
        <f t="shared" si="15"/>
        <v>0</v>
      </c>
      <c r="AH265" s="412">
        <f t="shared" si="15"/>
        <v>0</v>
      </c>
      <c r="AI265" s="412">
        <f t="shared" si="15"/>
        <v>0</v>
      </c>
      <c r="AJ265" s="412">
        <f t="shared" si="15"/>
        <v>0</v>
      </c>
      <c r="AK265" s="412">
        <f t="shared" si="15"/>
        <v>0</v>
      </c>
      <c r="AL265" s="412">
        <f t="shared" si="15"/>
        <v>0</v>
      </c>
      <c r="AP265" s="12"/>
      <c r="AQ265" s="12"/>
      <c r="AR265" s="12"/>
      <c r="AS265" s="12"/>
    </row>
    <row r="266">
      <c r="A266" s="16"/>
      <c r="C266" s="19"/>
      <c r="D266" s="19"/>
      <c r="E266" s="19"/>
      <c r="F266" s="435"/>
      <c r="G266" s="21"/>
      <c r="H266" s="19"/>
      <c r="I266" s="21"/>
      <c r="J266" s="433"/>
      <c r="K266" s="37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6"/>
      <c r="X266" s="12"/>
      <c r="Y266" s="12"/>
      <c r="Z266" s="12"/>
      <c r="AA266" s="12"/>
      <c r="AB266" s="12"/>
      <c r="AC266" s="12"/>
      <c r="AD266" s="12"/>
      <c r="AE266" s="12"/>
      <c r="AF266" s="436">
        <f t="shared" ref="AF266:AF267" si="16">SUM(AA264:AF264)</f>
        <v>0</v>
      </c>
      <c r="AG266" s="12"/>
      <c r="AH266" s="12"/>
      <c r="AI266" s="12"/>
      <c r="AJ266" s="12"/>
      <c r="AK266" s="12"/>
      <c r="AL266" s="436">
        <f t="shared" ref="AL266:AL267" si="17">SUM(AA264:AL264)</f>
        <v>0</v>
      </c>
      <c r="AP266" s="12"/>
      <c r="AQ266" s="12"/>
      <c r="AR266" s="12"/>
      <c r="AS266" s="12"/>
    </row>
    <row r="267">
      <c r="A267" s="16"/>
      <c r="B267" s="437"/>
      <c r="C267" s="19"/>
      <c r="D267" s="19"/>
      <c r="E267" s="19"/>
      <c r="F267" s="435"/>
      <c r="G267" s="21"/>
      <c r="H267" s="19"/>
      <c r="I267" s="21"/>
      <c r="J267" s="433"/>
      <c r="K267" s="37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83"/>
      <c r="W267" s="16"/>
      <c r="X267" s="12"/>
      <c r="Y267" s="12"/>
      <c r="Z267" s="12"/>
      <c r="AA267" s="12"/>
      <c r="AB267" s="12"/>
      <c r="AC267" s="12"/>
      <c r="AD267" s="12"/>
      <c r="AE267" s="12"/>
      <c r="AF267" s="436">
        <f t="shared" si="16"/>
        <v>0</v>
      </c>
      <c r="AG267" s="12"/>
      <c r="AH267" s="12"/>
      <c r="AI267" s="12"/>
      <c r="AJ267" s="12"/>
      <c r="AK267" s="12"/>
      <c r="AL267" s="436">
        <f t="shared" si="17"/>
        <v>0</v>
      </c>
      <c r="AP267" s="12"/>
      <c r="AQ267" s="12"/>
      <c r="AR267" s="12"/>
      <c r="AS267" s="12"/>
    </row>
    <row r="268">
      <c r="A268" s="16"/>
      <c r="B268" s="437"/>
      <c r="C268" s="19"/>
      <c r="D268" s="19"/>
      <c r="E268" s="19"/>
      <c r="F268" s="435">
        <v>1.0</v>
      </c>
      <c r="G268" s="21"/>
      <c r="H268" s="19"/>
      <c r="I268" s="21"/>
      <c r="J268" s="433"/>
      <c r="K268" s="37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83"/>
      <c r="W268" s="16"/>
      <c r="X268" s="12"/>
      <c r="Y268" s="12"/>
      <c r="Z268" s="12"/>
      <c r="AP268" s="12"/>
      <c r="AQ268" s="12"/>
      <c r="AR268" s="12"/>
      <c r="AS268" s="12"/>
    </row>
    <row r="269" hidden="1">
      <c r="A269" s="16"/>
      <c r="B269" s="438" t="s">
        <v>91</v>
      </c>
      <c r="C269" s="81"/>
      <c r="D269" s="81" t="s">
        <v>628</v>
      </c>
      <c r="E269" s="81" t="s">
        <v>629</v>
      </c>
      <c r="F269" s="60">
        <v>0.0</v>
      </c>
      <c r="G269" s="60">
        <f>F269*10</f>
        <v>0</v>
      </c>
      <c r="H269" s="439">
        <v>0.9</v>
      </c>
      <c r="I269" s="81">
        <f>G269*H269</f>
        <v>0</v>
      </c>
      <c r="J269" s="440"/>
      <c r="K269" s="11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441">
        <f>I269*20%</f>
        <v>0</v>
      </c>
      <c r="W269" s="441">
        <f>I269*35%</f>
        <v>0</v>
      </c>
      <c r="X269" s="441">
        <f>I269*25%</f>
        <v>0</v>
      </c>
      <c r="Y269" s="441">
        <f>I269*10%+I269*5%+I269*5%</f>
        <v>0</v>
      </c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</row>
    <row r="270" hidden="1">
      <c r="A270" s="16"/>
      <c r="B270" s="438"/>
      <c r="C270" s="81"/>
      <c r="D270" s="81"/>
      <c r="E270" s="81"/>
      <c r="F270" s="60">
        <v>0.0</v>
      </c>
      <c r="G270" s="60"/>
      <c r="H270" s="439"/>
      <c r="I270" s="81"/>
      <c r="J270" s="442"/>
      <c r="K270" s="37"/>
      <c r="L270" s="16"/>
      <c r="M270" s="12"/>
      <c r="N270" s="12"/>
      <c r="O270" s="415"/>
      <c r="P270" s="12"/>
      <c r="Q270" s="12"/>
      <c r="R270" s="12"/>
      <c r="S270" s="12"/>
      <c r="T270" s="12"/>
      <c r="U270" s="12"/>
      <c r="V270" s="443"/>
      <c r="W270" s="443"/>
      <c r="X270" s="443">
        <f>H269*1.7</f>
        <v>1.53</v>
      </c>
      <c r="Y270" s="100">
        <f>H269*2.5</f>
        <v>2.25</v>
      </c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hidden="1">
      <c r="A271" s="16"/>
      <c r="B271" s="444" t="s">
        <v>91</v>
      </c>
      <c r="C271" s="438"/>
      <c r="D271" s="438" t="s">
        <v>630</v>
      </c>
      <c r="E271" s="81" t="s">
        <v>631</v>
      </c>
      <c r="F271" s="60">
        <v>0.0</v>
      </c>
      <c r="G271" s="60">
        <f>F271*13</f>
        <v>0</v>
      </c>
      <c r="H271" s="439">
        <v>1.0</v>
      </c>
      <c r="I271" s="81">
        <f>G271*H271</f>
        <v>0</v>
      </c>
      <c r="J271" s="440"/>
      <c r="K271" s="11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445">
        <f>I271*20%</f>
        <v>0</v>
      </c>
      <c r="X271" s="445">
        <f>I271*80%</f>
        <v>0</v>
      </c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 hidden="1">
      <c r="A272" s="16"/>
      <c r="B272" s="446"/>
      <c r="C272" s="440"/>
      <c r="D272" s="440"/>
      <c r="E272" s="440"/>
      <c r="F272" s="447">
        <v>0.0</v>
      </c>
      <c r="G272" s="447"/>
      <c r="H272" s="448"/>
      <c r="I272" s="440"/>
      <c r="J272" s="440"/>
      <c r="K272" s="11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00"/>
      <c r="X272" s="100">
        <f>H271*6</f>
        <v>6</v>
      </c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</row>
    <row r="273" hidden="1">
      <c r="A273" s="16"/>
      <c r="B273" s="444" t="s">
        <v>91</v>
      </c>
      <c r="C273" s="81"/>
      <c r="D273" s="81" t="s">
        <v>628</v>
      </c>
      <c r="E273" s="81" t="s">
        <v>632</v>
      </c>
      <c r="F273" s="60">
        <v>0.0</v>
      </c>
      <c r="G273" s="60">
        <f>F273*8</f>
        <v>0</v>
      </c>
      <c r="H273" s="439">
        <v>1.0</v>
      </c>
      <c r="I273" s="81">
        <f>G273*H273</f>
        <v>0</v>
      </c>
      <c r="J273" s="440"/>
      <c r="K273" s="11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445">
        <f>I273</f>
        <v>0</v>
      </c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</row>
    <row r="274" hidden="1">
      <c r="A274" s="16"/>
      <c r="B274" s="438"/>
      <c r="C274" s="81"/>
      <c r="D274" s="81"/>
      <c r="E274" s="81"/>
      <c r="F274" s="60">
        <v>0.0</v>
      </c>
      <c r="G274" s="60"/>
      <c r="H274" s="439"/>
      <c r="I274" s="81"/>
      <c r="J274" s="440"/>
      <c r="K274" s="11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00">
        <f>F273*H273*4</f>
        <v>0</v>
      </c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</row>
    <row r="275" hidden="1">
      <c r="A275" s="16"/>
      <c r="B275" s="446" t="s">
        <v>42</v>
      </c>
      <c r="C275" s="449"/>
      <c r="D275" s="449" t="s">
        <v>633</v>
      </c>
      <c r="E275" s="449" t="s">
        <v>634</v>
      </c>
      <c r="F275" s="60">
        <v>0.0</v>
      </c>
      <c r="G275" s="447">
        <f>F275*65</f>
        <v>0</v>
      </c>
      <c r="H275" s="448">
        <v>1.0</v>
      </c>
      <c r="I275" s="449">
        <f>G275*H275</f>
        <v>0</v>
      </c>
      <c r="J275" s="374" t="s">
        <v>55</v>
      </c>
      <c r="K275" s="11"/>
      <c r="L275" s="16"/>
      <c r="M275" s="16"/>
      <c r="N275" s="16"/>
      <c r="O275" s="16"/>
      <c r="P275" s="16"/>
      <c r="Q275" s="16"/>
      <c r="R275" s="16"/>
      <c r="S275" s="16"/>
      <c r="T275" s="16"/>
      <c r="U275" s="83"/>
      <c r="V275" s="129"/>
      <c r="W275" s="129"/>
      <c r="X275" s="441">
        <f>I275*20%*65%+I275*30%*35%</f>
        <v>0</v>
      </c>
      <c r="Y275" s="441">
        <f>I275*15%*65%</f>
        <v>0</v>
      </c>
      <c r="Z275" s="441">
        <f>I275*25%*65%+I275*70%*35%</f>
        <v>0</v>
      </c>
      <c r="AA275" s="441">
        <f>I275*25%*65%</f>
        <v>0</v>
      </c>
      <c r="AB275" s="441">
        <f>I275*10%*65%</f>
        <v>0</v>
      </c>
      <c r="AC275" s="441">
        <f>I275*5%*65%</f>
        <v>0</v>
      </c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</row>
    <row r="276" hidden="1">
      <c r="A276" s="16"/>
      <c r="B276" s="446"/>
      <c r="C276" s="449"/>
      <c r="D276" s="449"/>
      <c r="E276" s="449"/>
      <c r="F276" s="447">
        <v>0.0</v>
      </c>
      <c r="G276" s="447"/>
      <c r="H276" s="448"/>
      <c r="I276" s="449"/>
      <c r="J276" s="374"/>
      <c r="K276" s="11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29"/>
      <c r="W276" s="129"/>
      <c r="X276" s="443"/>
      <c r="Y276" s="443">
        <f>F275*H275*15</f>
        <v>0</v>
      </c>
      <c r="Z276" s="443">
        <f>F275*H275*6</f>
        <v>0</v>
      </c>
      <c r="AA276" s="443">
        <f>F275*H275*20</f>
        <v>0</v>
      </c>
      <c r="AB276" s="443"/>
      <c r="AC276" s="443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</row>
    <row r="277" hidden="1">
      <c r="A277" s="16"/>
      <c r="B277" s="450" t="s">
        <v>77</v>
      </c>
      <c r="C277" s="451"/>
      <c r="D277" s="451" t="s">
        <v>71</v>
      </c>
      <c r="E277" s="451" t="s">
        <v>635</v>
      </c>
      <c r="F277" s="222">
        <v>0.0</v>
      </c>
      <c r="G277" s="222">
        <f>F277*70</f>
        <v>0</v>
      </c>
      <c r="H277" s="452">
        <v>0.6</v>
      </c>
      <c r="I277" s="451">
        <f>G277*H277</f>
        <v>0</v>
      </c>
      <c r="J277" s="326" t="s">
        <v>55</v>
      </c>
      <c r="K277" s="11" t="s">
        <v>75</v>
      </c>
      <c r="L277" s="16"/>
      <c r="M277" s="12"/>
      <c r="N277" s="12"/>
      <c r="O277" s="12"/>
      <c r="P277" s="415"/>
      <c r="Q277" s="12"/>
      <c r="R277" s="12"/>
      <c r="S277" s="12"/>
      <c r="T277" s="12"/>
      <c r="U277" s="12"/>
      <c r="V277" s="12"/>
      <c r="W277" s="12"/>
      <c r="AA277" s="441">
        <f>I277*40%</f>
        <v>0</v>
      </c>
      <c r="AB277" s="441">
        <f>I277*40%</f>
        <v>0</v>
      </c>
      <c r="AC277" s="441">
        <f>I277*20%</f>
        <v>0</v>
      </c>
      <c r="AD277" s="441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</row>
    <row r="278" hidden="1">
      <c r="A278" s="16"/>
      <c r="B278" s="450"/>
      <c r="C278" s="451"/>
      <c r="D278" s="451"/>
      <c r="E278" s="451"/>
      <c r="F278" s="252">
        <v>0.0</v>
      </c>
      <c r="G278" s="222"/>
      <c r="H278" s="452"/>
      <c r="I278" s="451"/>
      <c r="J278" s="453"/>
      <c r="K278" s="11"/>
      <c r="L278" s="16"/>
      <c r="M278" s="12"/>
      <c r="N278" s="12"/>
      <c r="O278" s="12"/>
      <c r="P278" s="415"/>
      <c r="Q278" s="12"/>
      <c r="R278" s="12"/>
      <c r="S278" s="12"/>
      <c r="T278" s="12"/>
      <c r="U278" s="12"/>
      <c r="V278" s="12"/>
      <c r="W278" s="12"/>
      <c r="AA278" s="443">
        <f>F277*H277*1.1</f>
        <v>0</v>
      </c>
      <c r="AB278" s="443">
        <f>F277*H277*15</f>
        <v>0</v>
      </c>
      <c r="AC278" s="443"/>
      <c r="AD278" s="443">
        <f>F277*H277*23</f>
        <v>0</v>
      </c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</row>
    <row r="279" hidden="1">
      <c r="A279" s="47"/>
      <c r="B279" s="454" t="s">
        <v>91</v>
      </c>
      <c r="C279" s="455"/>
      <c r="D279" s="455" t="s">
        <v>630</v>
      </c>
      <c r="E279" s="65" t="s">
        <v>636</v>
      </c>
      <c r="F279" s="456">
        <v>0.0</v>
      </c>
      <c r="G279" s="457">
        <f>F279*15</f>
        <v>0</v>
      </c>
      <c r="H279" s="458">
        <v>0.5</v>
      </c>
      <c r="I279" s="65">
        <f>G279*H279</f>
        <v>0</v>
      </c>
      <c r="J279" s="65"/>
      <c r="K279" s="102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55"/>
      <c r="W279" s="55"/>
      <c r="X279" s="459">
        <f>I279*20%</f>
        <v>0</v>
      </c>
      <c r="Y279" s="459">
        <f>I279*30%</f>
        <v>0</v>
      </c>
      <c r="Z279" s="459">
        <f>I279*50%</f>
        <v>0</v>
      </c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</row>
    <row r="280" hidden="1">
      <c r="A280" s="47"/>
      <c r="B280" s="455"/>
      <c r="C280" s="65"/>
      <c r="D280" s="65"/>
      <c r="E280" s="65"/>
      <c r="F280" s="457">
        <v>0.0</v>
      </c>
      <c r="G280" s="457"/>
      <c r="H280" s="458"/>
      <c r="I280" s="65"/>
      <c r="J280" s="65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47"/>
      <c r="W280" s="47"/>
      <c r="X280" s="460"/>
      <c r="Y280" s="460">
        <f>H279*2.3</f>
        <v>1.15</v>
      </c>
      <c r="Z280" s="460">
        <f>H279*4</f>
        <v>2</v>
      </c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</row>
    <row r="281" hidden="1">
      <c r="A281" s="16"/>
      <c r="B281" s="461" t="s">
        <v>91</v>
      </c>
      <c r="C281" s="419"/>
      <c r="D281" s="419" t="s">
        <v>630</v>
      </c>
      <c r="E281" s="168" t="s">
        <v>637</v>
      </c>
      <c r="F281" s="462">
        <v>0.0</v>
      </c>
      <c r="G281" s="463">
        <f>F281*10</f>
        <v>0</v>
      </c>
      <c r="H281" s="421">
        <v>0.75</v>
      </c>
      <c r="I281" s="168">
        <f>G281*H281</f>
        <v>0</v>
      </c>
      <c r="J281" s="168" t="s">
        <v>15</v>
      </c>
      <c r="K281" s="11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</row>
    <row r="282" hidden="1">
      <c r="A282" s="16"/>
      <c r="B282" s="419"/>
      <c r="C282" s="168"/>
      <c r="D282" s="168"/>
      <c r="E282" s="168"/>
      <c r="F282" s="463">
        <v>0.0</v>
      </c>
      <c r="G282" s="463"/>
      <c r="H282" s="421"/>
      <c r="I282" s="168"/>
      <c r="J282" s="168"/>
      <c r="K282" s="11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</row>
    <row r="283">
      <c r="A283" s="197"/>
      <c r="B283" s="198" t="s">
        <v>36</v>
      </c>
      <c r="C283" s="199"/>
      <c r="D283" s="199"/>
      <c r="E283" s="199"/>
      <c r="F283" s="200">
        <v>1.0</v>
      </c>
      <c r="G283" s="199"/>
      <c r="H283" s="199"/>
      <c r="I283" s="199"/>
      <c r="J283" s="201"/>
      <c r="K283" s="197"/>
      <c r="L283" s="197"/>
      <c r="M283" s="197"/>
      <c r="N283" s="197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K283" s="202"/>
      <c r="AL283" s="202"/>
      <c r="AM283" s="12"/>
      <c r="AN283" s="12"/>
      <c r="AO283" s="12"/>
      <c r="AP283" s="12"/>
      <c r="AQ283" s="12"/>
      <c r="AR283" s="12"/>
      <c r="AS283" s="12"/>
    </row>
    <row r="284" hidden="1">
      <c r="A284" s="16"/>
      <c r="B284" s="419" t="s">
        <v>121</v>
      </c>
      <c r="C284" s="209"/>
      <c r="D284" s="209" t="s">
        <v>630</v>
      </c>
      <c r="E284" s="209" t="s">
        <v>638</v>
      </c>
      <c r="F284" s="462">
        <v>0.0</v>
      </c>
      <c r="G284" s="420">
        <f>F284*17</f>
        <v>0</v>
      </c>
      <c r="H284" s="421">
        <v>1.0</v>
      </c>
      <c r="I284" s="385">
        <f>G284*H284</f>
        <v>0</v>
      </c>
      <c r="J284" s="338" t="s">
        <v>55</v>
      </c>
      <c r="K284" s="37"/>
      <c r="L284" s="16"/>
      <c r="M284" s="12"/>
      <c r="N284" s="12"/>
      <c r="O284" s="12"/>
      <c r="P284" s="415"/>
      <c r="Q284" s="12"/>
      <c r="R284" s="12"/>
      <c r="S284" s="12"/>
      <c r="T284" s="12"/>
      <c r="U284" s="12"/>
      <c r="V284" s="12"/>
      <c r="AC284" s="441">
        <f>I284*20%</f>
        <v>0</v>
      </c>
      <c r="AD284" s="441">
        <f>I284*15%</f>
        <v>0</v>
      </c>
      <c r="AE284" s="441">
        <f>I284*20%</f>
        <v>0</v>
      </c>
      <c r="AF284" s="441">
        <f>I284*25%</f>
        <v>0</v>
      </c>
      <c r="AG284" s="441">
        <f>I284*10%</f>
        <v>0</v>
      </c>
      <c r="AH284" s="441">
        <f>I284*10%</f>
        <v>0</v>
      </c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</row>
    <row r="285" hidden="1">
      <c r="A285" s="16"/>
      <c r="B285" s="419"/>
      <c r="C285" s="209"/>
      <c r="D285" s="209"/>
      <c r="E285" s="209"/>
      <c r="F285" s="178">
        <v>0.0</v>
      </c>
      <c r="G285" s="420"/>
      <c r="H285" s="421"/>
      <c r="I285" s="385"/>
      <c r="J285" s="338"/>
      <c r="K285" s="37"/>
      <c r="L285" s="16"/>
      <c r="M285" s="12"/>
      <c r="N285" s="12"/>
      <c r="O285" s="12"/>
      <c r="P285" s="415"/>
      <c r="Q285" s="12"/>
      <c r="R285" s="12"/>
      <c r="S285" s="12"/>
      <c r="T285" s="12"/>
      <c r="U285" s="12"/>
      <c r="V285" s="12"/>
      <c r="AC285" s="100"/>
      <c r="AD285" s="100"/>
      <c r="AE285" s="113">
        <f>F284*H284*1.3</f>
        <v>0</v>
      </c>
      <c r="AF285" s="113"/>
      <c r="AG285" s="113"/>
      <c r="AH285" s="113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</row>
    <row r="286" hidden="1">
      <c r="A286" s="16"/>
      <c r="B286" s="446" t="s">
        <v>127</v>
      </c>
      <c r="C286" s="449"/>
      <c r="D286" s="449" t="s">
        <v>639</v>
      </c>
      <c r="E286" s="449" t="s">
        <v>640</v>
      </c>
      <c r="F286" s="60">
        <v>0.0</v>
      </c>
      <c r="G286" s="464">
        <f>F286*120</f>
        <v>0</v>
      </c>
      <c r="H286" s="448">
        <v>1.0</v>
      </c>
      <c r="I286" s="465">
        <f>G286*H286</f>
        <v>0</v>
      </c>
      <c r="J286" s="374" t="s">
        <v>55</v>
      </c>
      <c r="K286" s="11"/>
      <c r="L286" s="16"/>
      <c r="M286" s="12"/>
      <c r="N286" s="12"/>
      <c r="O286" s="12"/>
      <c r="P286" s="415"/>
      <c r="Q286" s="12"/>
      <c r="R286" s="12"/>
      <c r="S286" s="12"/>
      <c r="T286" s="12"/>
      <c r="U286" s="12"/>
      <c r="V286" s="12"/>
      <c r="W286" s="12"/>
      <c r="X286" s="12"/>
      <c r="AA286" s="441">
        <f>F286*I286*10%*59%</f>
        <v>0</v>
      </c>
      <c r="AB286" s="441">
        <f>F286*I286*10%*59%+F286*I286*40%*41%</f>
        <v>0</v>
      </c>
      <c r="AC286" s="441">
        <f>F286*I286*15%*59%</f>
        <v>0</v>
      </c>
      <c r="AD286" s="441">
        <f>F286*I286*60%*41%</f>
        <v>0</v>
      </c>
      <c r="AE286" s="441">
        <f>F286*I286*20%*59%</f>
        <v>0</v>
      </c>
      <c r="AF286" s="441">
        <f>F286*I286*40%*59%</f>
        <v>0</v>
      </c>
      <c r="AG286" s="441">
        <f>F286*I286*5%*59%</f>
        <v>0</v>
      </c>
      <c r="AI286" s="129"/>
      <c r="AJ286" s="129"/>
      <c r="AK286" s="129"/>
      <c r="AL286" s="129"/>
      <c r="AM286" s="129"/>
      <c r="AN286" s="129"/>
      <c r="AO286" s="129"/>
      <c r="AP286" s="129"/>
      <c r="AQ286" s="129"/>
      <c r="AR286" s="129"/>
      <c r="AS286" s="129"/>
    </row>
    <row r="287" hidden="1">
      <c r="A287" s="16"/>
      <c r="B287" s="446"/>
      <c r="C287" s="449"/>
      <c r="D287" s="449"/>
      <c r="E287" s="449"/>
      <c r="F287" s="75">
        <v>0.0</v>
      </c>
      <c r="G287" s="464"/>
      <c r="H287" s="448"/>
      <c r="I287" s="465"/>
      <c r="J287" s="404"/>
      <c r="K287" s="11"/>
      <c r="L287" s="16"/>
      <c r="M287" s="12"/>
      <c r="N287" s="12"/>
      <c r="O287" s="12"/>
      <c r="P287" s="415"/>
      <c r="Q287" s="12"/>
      <c r="R287" s="12"/>
      <c r="S287" s="12"/>
      <c r="T287" s="12"/>
      <c r="U287" s="12"/>
      <c r="V287" s="12"/>
      <c r="W287" s="12"/>
      <c r="X287" s="12"/>
      <c r="AA287" s="443">
        <f>F286*H286*1</f>
        <v>0</v>
      </c>
      <c r="AB287" s="443"/>
      <c r="AC287" s="443"/>
      <c r="AD287" s="443">
        <f>F286*H286*9</f>
        <v>0</v>
      </c>
      <c r="AE287" s="443">
        <f>F286*H286*20.5</f>
        <v>0</v>
      </c>
      <c r="AF287" s="443">
        <f>F286*H286*3.3</f>
        <v>0</v>
      </c>
      <c r="AG287" s="443">
        <f>F286*H286*8.2</f>
        <v>0</v>
      </c>
      <c r="AI287" s="129"/>
      <c r="AJ287" s="129"/>
      <c r="AK287" s="129"/>
      <c r="AL287" s="129"/>
      <c r="AM287" s="129"/>
      <c r="AN287" s="129"/>
      <c r="AO287" s="129"/>
      <c r="AP287" s="129"/>
      <c r="AQ287" s="129"/>
      <c r="AR287" s="129"/>
      <c r="AS287" s="129"/>
    </row>
    <row r="288" hidden="1">
      <c r="A288" s="16"/>
      <c r="B288" s="419" t="s">
        <v>121</v>
      </c>
      <c r="C288" s="168"/>
      <c r="D288" s="168" t="s">
        <v>630</v>
      </c>
      <c r="E288" s="466" t="s">
        <v>641</v>
      </c>
      <c r="F288" s="467">
        <v>0.0</v>
      </c>
      <c r="G288" s="420">
        <f>F288*17</f>
        <v>0</v>
      </c>
      <c r="H288" s="421">
        <v>1.0</v>
      </c>
      <c r="I288" s="468">
        <f>G288*H288</f>
        <v>0</v>
      </c>
      <c r="J288" s="338" t="s">
        <v>55</v>
      </c>
      <c r="K288" s="11" t="s">
        <v>642</v>
      </c>
      <c r="L288" s="16"/>
      <c r="M288" s="12"/>
      <c r="N288" s="12"/>
      <c r="O288" s="12"/>
      <c r="P288" s="415"/>
      <c r="Q288" s="12"/>
      <c r="R288" s="12"/>
      <c r="S288" s="12"/>
      <c r="T288" s="12"/>
      <c r="U288" s="12"/>
      <c r="V288" s="12"/>
      <c r="W288" s="12"/>
      <c r="X288" s="12"/>
      <c r="Y288" s="129"/>
      <c r="AD288" s="469">
        <f>I288*30%</f>
        <v>0</v>
      </c>
      <c r="AE288" s="469">
        <f>I288*70%</f>
        <v>0</v>
      </c>
      <c r="AK288" s="129"/>
      <c r="AM288" s="129"/>
      <c r="AN288" s="129"/>
      <c r="AO288" s="129"/>
      <c r="AP288" s="129"/>
      <c r="AQ288" s="129"/>
      <c r="AR288" s="129"/>
      <c r="AS288" s="129"/>
    </row>
    <row r="289" hidden="1">
      <c r="A289" s="16"/>
      <c r="B289" s="419"/>
      <c r="C289" s="168"/>
      <c r="D289" s="168"/>
      <c r="E289" s="466"/>
      <c r="F289" s="467">
        <v>0.0</v>
      </c>
      <c r="G289" s="420"/>
      <c r="H289" s="421"/>
      <c r="I289" s="468"/>
      <c r="J289" s="338"/>
      <c r="K289" s="37"/>
      <c r="L289" s="16"/>
      <c r="M289" s="12"/>
      <c r="N289" s="12"/>
      <c r="O289" s="12"/>
      <c r="P289" s="415"/>
      <c r="Q289" s="12"/>
      <c r="R289" s="12"/>
      <c r="S289" s="12"/>
      <c r="T289" s="12"/>
      <c r="U289" s="12"/>
      <c r="V289" s="12"/>
      <c r="W289" s="12"/>
      <c r="X289" s="12"/>
      <c r="Y289" s="129"/>
      <c r="AD289" s="398">
        <f t="shared" ref="AD289:AE289" si="18">AD288*10%</f>
        <v>0</v>
      </c>
      <c r="AE289" s="398">
        <f t="shared" si="18"/>
        <v>0</v>
      </c>
      <c r="AK289" s="129"/>
      <c r="AM289" s="129"/>
      <c r="AN289" s="129"/>
      <c r="AO289" s="129"/>
      <c r="AP289" s="129"/>
      <c r="AQ289" s="129"/>
      <c r="AR289" s="129"/>
      <c r="AS289" s="129"/>
    </row>
    <row r="290" hidden="1">
      <c r="A290" s="16"/>
      <c r="B290" s="419" t="s">
        <v>131</v>
      </c>
      <c r="C290" s="209"/>
      <c r="D290" s="209" t="s">
        <v>628</v>
      </c>
      <c r="E290" s="209" t="s">
        <v>643</v>
      </c>
      <c r="F290" s="462">
        <v>0.0</v>
      </c>
      <c r="G290" s="463">
        <f>F290*17</f>
        <v>0</v>
      </c>
      <c r="H290" s="421">
        <v>0.3</v>
      </c>
      <c r="I290" s="209">
        <f>G290*H290</f>
        <v>0</v>
      </c>
      <c r="J290" s="338" t="s">
        <v>55</v>
      </c>
      <c r="K290" s="11" t="s">
        <v>75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AB290" s="445">
        <f>I290*80%</f>
        <v>0</v>
      </c>
      <c r="AC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</row>
    <row r="291" hidden="1">
      <c r="A291" s="16"/>
      <c r="B291" s="419"/>
      <c r="C291" s="209"/>
      <c r="D291" s="209"/>
      <c r="E291" s="470"/>
      <c r="F291" s="178">
        <v>0.0</v>
      </c>
      <c r="G291" s="463"/>
      <c r="H291" s="421"/>
      <c r="I291" s="209"/>
      <c r="J291" s="338"/>
      <c r="K291" s="11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AB291" s="100">
        <f>H290*5*F290</f>
        <v>0</v>
      </c>
      <c r="AC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</row>
    <row r="292" hidden="1">
      <c r="A292" s="16"/>
      <c r="B292" s="446" t="s">
        <v>121</v>
      </c>
      <c r="C292" s="449"/>
      <c r="D292" s="449" t="s">
        <v>427</v>
      </c>
      <c r="E292" s="449" t="s">
        <v>644</v>
      </c>
      <c r="F292" s="60">
        <v>0.0</v>
      </c>
      <c r="G292" s="464">
        <f>F292*30</f>
        <v>0</v>
      </c>
      <c r="H292" s="448">
        <v>0.5</v>
      </c>
      <c r="I292" s="465">
        <f>G292*H292</f>
        <v>0</v>
      </c>
      <c r="J292" s="374" t="s">
        <v>55</v>
      </c>
      <c r="K292" s="11"/>
      <c r="L292" s="16"/>
      <c r="M292" s="16"/>
      <c r="N292" s="16"/>
      <c r="O292" s="12"/>
      <c r="P292" s="12"/>
      <c r="Q292" s="12"/>
      <c r="R292" s="12"/>
      <c r="S292" s="12"/>
      <c r="T292" s="12"/>
      <c r="U292" s="28"/>
      <c r="V292" s="12"/>
      <c r="W292" s="12"/>
      <c r="AC292" s="471">
        <f>I292*30%</f>
        <v>0</v>
      </c>
      <c r="AD292" s="471">
        <f>I292*70%</f>
        <v>0</v>
      </c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</row>
    <row r="293" hidden="1">
      <c r="A293" s="16"/>
      <c r="B293" s="103"/>
      <c r="C293" s="104"/>
      <c r="D293" s="104"/>
      <c r="E293" s="104"/>
      <c r="F293" s="75">
        <v>0.0</v>
      </c>
      <c r="G293" s="227"/>
      <c r="H293" s="106"/>
      <c r="I293" s="228"/>
      <c r="J293" s="374"/>
      <c r="K293" s="11"/>
      <c r="L293" s="16"/>
      <c r="M293" s="16"/>
      <c r="N293" s="16"/>
      <c r="O293" s="12"/>
      <c r="P293" s="12"/>
      <c r="Q293" s="12"/>
      <c r="R293" s="12"/>
      <c r="S293" s="12"/>
      <c r="T293" s="12"/>
      <c r="U293" s="28"/>
      <c r="V293" s="12"/>
      <c r="W293" s="12"/>
      <c r="AC293" s="472">
        <f t="shared" ref="AC293:AD293" si="19">AC292*10%</f>
        <v>0</v>
      </c>
      <c r="AD293" s="472">
        <f t="shared" si="19"/>
        <v>0</v>
      </c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</row>
    <row r="294" hidden="1">
      <c r="A294" s="16"/>
      <c r="B294" s="419" t="s">
        <v>121</v>
      </c>
      <c r="C294" s="419"/>
      <c r="D294" s="419" t="s">
        <v>630</v>
      </c>
      <c r="E294" s="209" t="s">
        <v>645</v>
      </c>
      <c r="F294" s="462">
        <v>0.0</v>
      </c>
      <c r="G294" s="463">
        <f>F294*10</f>
        <v>0</v>
      </c>
      <c r="H294" s="421">
        <v>0.5</v>
      </c>
      <c r="I294" s="209">
        <f>G294*H294</f>
        <v>0</v>
      </c>
      <c r="J294" s="338" t="s">
        <v>80</v>
      </c>
      <c r="K294" s="11"/>
      <c r="L294" s="16"/>
      <c r="M294" s="12"/>
      <c r="N294" s="12"/>
      <c r="O294" s="12"/>
      <c r="P294" s="415"/>
      <c r="Q294" s="12"/>
      <c r="R294" s="12"/>
      <c r="S294" s="12"/>
      <c r="T294" s="12"/>
      <c r="U294" s="12"/>
      <c r="V294" s="12"/>
      <c r="W294" s="12"/>
      <c r="X294" s="12"/>
      <c r="Y294" s="129"/>
      <c r="AB294" s="129"/>
      <c r="AC294" s="445">
        <f>I294*20%</f>
        <v>0</v>
      </c>
      <c r="AD294" s="445">
        <f>I294*80%</f>
        <v>0</v>
      </c>
      <c r="AE294" s="129"/>
      <c r="AF294" s="129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129"/>
      <c r="AQ294" s="129"/>
      <c r="AR294" s="129"/>
      <c r="AS294" s="129"/>
    </row>
    <row r="295" hidden="1">
      <c r="A295" s="16"/>
      <c r="B295" s="419"/>
      <c r="C295" s="209"/>
      <c r="D295" s="209"/>
      <c r="E295" s="209"/>
      <c r="F295" s="473">
        <v>0.0</v>
      </c>
      <c r="G295" s="463"/>
      <c r="H295" s="421"/>
      <c r="I295" s="209"/>
      <c r="J295" s="338"/>
      <c r="K295" s="11"/>
      <c r="L295" s="16"/>
      <c r="M295" s="12"/>
      <c r="N295" s="12"/>
      <c r="O295" s="12"/>
      <c r="P295" s="415"/>
      <c r="Q295" s="12"/>
      <c r="R295" s="12"/>
      <c r="S295" s="12"/>
      <c r="T295" s="12"/>
      <c r="U295" s="12"/>
      <c r="V295" s="12"/>
      <c r="W295" s="12"/>
      <c r="X295" s="12"/>
      <c r="Y295" s="129"/>
      <c r="AB295" s="129"/>
      <c r="AC295" s="100"/>
      <c r="AD295" s="100">
        <f>H294*2</f>
        <v>1</v>
      </c>
      <c r="AE295" s="129"/>
      <c r="AF295" s="129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129"/>
      <c r="AQ295" s="129"/>
      <c r="AR295" s="129"/>
      <c r="AS295" s="129"/>
    </row>
    <row r="296" hidden="1">
      <c r="A296" s="16"/>
      <c r="B296" s="103" t="s">
        <v>452</v>
      </c>
      <c r="C296" s="104">
        <v>13.0</v>
      </c>
      <c r="D296" s="104" t="s">
        <v>193</v>
      </c>
      <c r="E296" s="104" t="s">
        <v>646</v>
      </c>
      <c r="F296" s="75">
        <v>0.0</v>
      </c>
      <c r="G296" s="227">
        <f>F296*16</f>
        <v>0</v>
      </c>
      <c r="H296" s="106">
        <v>0.9</v>
      </c>
      <c r="I296" s="228">
        <f>G296*H296</f>
        <v>0</v>
      </c>
      <c r="J296" s="107" t="s">
        <v>55</v>
      </c>
      <c r="K296" s="11"/>
      <c r="L296" s="16"/>
      <c r="M296" s="16"/>
      <c r="N296" s="16"/>
      <c r="O296" s="12"/>
      <c r="P296" s="12"/>
      <c r="Q296" s="12"/>
      <c r="R296" s="12"/>
      <c r="S296" s="12"/>
      <c r="T296" s="12"/>
      <c r="U296" s="12"/>
      <c r="V296" s="12"/>
      <c r="AF296" s="12"/>
      <c r="AG296" s="12"/>
      <c r="AH296" s="12"/>
      <c r="AI296" s="12"/>
      <c r="AJ296" s="12"/>
      <c r="AK296" s="445">
        <f>I296</f>
        <v>0</v>
      </c>
      <c r="AL296" s="12"/>
      <c r="AM296" s="12"/>
      <c r="AN296" s="12"/>
      <c r="AO296" s="12"/>
      <c r="AP296" s="12"/>
      <c r="AQ296" s="12"/>
      <c r="AR296" s="12"/>
      <c r="AS296" s="12"/>
    </row>
    <row r="297" hidden="1">
      <c r="A297" s="16"/>
      <c r="B297" s="103"/>
      <c r="C297" s="104"/>
      <c r="D297" s="104"/>
      <c r="E297" s="104"/>
      <c r="F297" s="75">
        <v>0.0</v>
      </c>
      <c r="G297" s="227"/>
      <c r="H297" s="106"/>
      <c r="I297" s="228"/>
      <c r="J297" s="107"/>
      <c r="K297" s="11"/>
      <c r="L297" s="16"/>
      <c r="M297" s="16"/>
      <c r="N297" s="16"/>
      <c r="O297" s="12"/>
      <c r="P297" s="12"/>
      <c r="Q297" s="12"/>
      <c r="R297" s="12"/>
      <c r="S297" s="12"/>
      <c r="T297" s="12"/>
      <c r="U297" s="12"/>
      <c r="V297" s="12"/>
      <c r="AE297" s="100"/>
      <c r="AF297" s="100">
        <f>F296*H296*1.5</f>
        <v>0</v>
      </c>
      <c r="AG297" s="100">
        <f>F296*H296*2.7</f>
        <v>0</v>
      </c>
      <c r="AH297" s="100"/>
      <c r="AI297" s="100">
        <f>F296*H296*1.5</f>
        <v>0</v>
      </c>
      <c r="AJ297" s="100">
        <f>F296*H296*14</f>
        <v>0</v>
      </c>
      <c r="AK297" s="100">
        <f>F296*H296*1.5</f>
        <v>0</v>
      </c>
      <c r="AL297" s="12"/>
      <c r="AM297" s="12"/>
      <c r="AN297" s="12"/>
      <c r="AO297" s="12"/>
      <c r="AP297" s="12"/>
      <c r="AQ297" s="12"/>
      <c r="AR297" s="12"/>
      <c r="AS297" s="12"/>
    </row>
    <row r="298" hidden="1">
      <c r="A298" s="16"/>
      <c r="B298" s="474" t="s">
        <v>131</v>
      </c>
      <c r="C298" s="168"/>
      <c r="D298" s="168" t="s">
        <v>647</v>
      </c>
      <c r="E298" s="466" t="s">
        <v>648</v>
      </c>
      <c r="F298" s="462">
        <f>AD2</f>
        <v>0</v>
      </c>
      <c r="G298" s="420">
        <f>F298*20</f>
        <v>0</v>
      </c>
      <c r="H298" s="421">
        <v>0.25</v>
      </c>
      <c r="I298" s="468">
        <f>G298*H298</f>
        <v>0</v>
      </c>
      <c r="J298" s="338" t="s">
        <v>15</v>
      </c>
      <c r="K298" s="11"/>
      <c r="L298" s="16"/>
      <c r="M298" s="12"/>
      <c r="N298" s="12"/>
      <c r="O298" s="12"/>
      <c r="P298" s="415"/>
      <c r="Q298" s="12"/>
      <c r="R298" s="12"/>
      <c r="S298" s="12"/>
      <c r="T298" s="12"/>
      <c r="U298" s="12"/>
      <c r="V298" s="12"/>
      <c r="W298" s="12"/>
      <c r="X298" s="12"/>
      <c r="Y298" s="129"/>
      <c r="Z298" s="129"/>
      <c r="AA298" s="129"/>
      <c r="AB298" s="129"/>
      <c r="AC298" s="129"/>
      <c r="AE298" s="475">
        <f>I298*20%</f>
        <v>0</v>
      </c>
      <c r="AF298" s="475">
        <f>I298*80%</f>
        <v>0</v>
      </c>
      <c r="AG298" s="129"/>
      <c r="AH298" s="129"/>
      <c r="AI298" s="129"/>
      <c r="AJ298" s="129"/>
      <c r="AK298" s="129"/>
      <c r="AL298" s="129"/>
      <c r="AM298" s="129"/>
      <c r="AN298" s="129"/>
      <c r="AO298" s="129"/>
      <c r="AP298" s="129"/>
      <c r="AQ298" s="129"/>
      <c r="AR298" s="129"/>
      <c r="AS298" s="129"/>
    </row>
    <row r="299" hidden="1">
      <c r="A299" s="16"/>
      <c r="B299" s="419"/>
      <c r="C299" s="168"/>
      <c r="D299" s="168"/>
      <c r="E299" s="466"/>
      <c r="F299" s="462">
        <f>AD2</f>
        <v>0</v>
      </c>
      <c r="G299" s="420"/>
      <c r="H299" s="421"/>
      <c r="I299" s="468"/>
      <c r="J299" s="338"/>
      <c r="K299" s="11"/>
      <c r="L299" s="16"/>
      <c r="M299" s="12"/>
      <c r="N299" s="12"/>
      <c r="O299" s="12"/>
      <c r="P299" s="415"/>
      <c r="Q299" s="12"/>
      <c r="R299" s="12"/>
      <c r="S299" s="12"/>
      <c r="T299" s="12"/>
      <c r="U299" s="12"/>
      <c r="V299" s="12"/>
      <c r="W299" s="12"/>
      <c r="X299" s="12"/>
      <c r="Y299" s="129"/>
      <c r="Z299" s="129"/>
      <c r="AA299" s="129"/>
      <c r="AB299" s="129"/>
      <c r="AC299" s="129"/>
      <c r="AE299" s="386"/>
      <c r="AF299" s="386">
        <f>H298*2</f>
        <v>0.5</v>
      </c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  <c r="AS299" s="129"/>
    </row>
    <row r="300" hidden="1">
      <c r="A300" s="16"/>
      <c r="B300" s="103" t="s">
        <v>452</v>
      </c>
      <c r="C300" s="104"/>
      <c r="D300" s="440" t="s">
        <v>598</v>
      </c>
      <c r="E300" s="440" t="s">
        <v>649</v>
      </c>
      <c r="F300" s="75">
        <v>0.0</v>
      </c>
      <c r="G300" s="464">
        <f>F300*39</f>
        <v>0</v>
      </c>
      <c r="H300" s="448">
        <v>0.9</v>
      </c>
      <c r="I300" s="476">
        <f>G300*H300</f>
        <v>0</v>
      </c>
      <c r="J300" s="374" t="s">
        <v>55</v>
      </c>
      <c r="K300" s="11"/>
      <c r="L300" s="16"/>
      <c r="M300" s="12"/>
      <c r="N300" s="12"/>
      <c r="O300" s="12"/>
      <c r="P300" s="415"/>
      <c r="Q300" s="12"/>
      <c r="R300" s="12"/>
      <c r="S300" s="12"/>
      <c r="T300" s="12"/>
      <c r="U300" s="12"/>
      <c r="V300" s="12"/>
      <c r="W300" s="12"/>
      <c r="X300" s="12"/>
      <c r="Y300" s="129"/>
      <c r="Z300" s="129"/>
      <c r="AA300" s="129"/>
      <c r="AE300" s="279">
        <f>I300*30%</f>
        <v>0</v>
      </c>
      <c r="AF300" s="279">
        <f>I300*20%</f>
        <v>0</v>
      </c>
      <c r="AL300" s="12"/>
      <c r="AM300" s="336">
        <f>I300*20%</f>
        <v>0</v>
      </c>
      <c r="AN300" s="279">
        <f>I300*10%</f>
        <v>0</v>
      </c>
      <c r="AO300" s="336">
        <f>I300*20%</f>
        <v>0</v>
      </c>
      <c r="AP300" s="129"/>
      <c r="AQ300" s="129"/>
      <c r="AR300" s="129"/>
      <c r="AS300" s="129"/>
    </row>
    <row r="301" hidden="1">
      <c r="A301" s="16"/>
      <c r="B301" s="103"/>
      <c r="C301" s="104"/>
      <c r="D301" s="440"/>
      <c r="E301" s="440"/>
      <c r="F301" s="75">
        <v>0.0</v>
      </c>
      <c r="G301" s="464"/>
      <c r="H301" s="448"/>
      <c r="I301" s="476"/>
      <c r="J301" s="374"/>
      <c r="K301" s="11"/>
      <c r="L301" s="16"/>
      <c r="M301" s="12"/>
      <c r="N301" s="12"/>
      <c r="O301" s="12"/>
      <c r="P301" s="415"/>
      <c r="Q301" s="12"/>
      <c r="R301" s="12"/>
      <c r="S301" s="12"/>
      <c r="T301" s="12"/>
      <c r="U301" s="12"/>
      <c r="V301" s="12"/>
      <c r="W301" s="12"/>
      <c r="X301" s="12"/>
      <c r="Y301" s="129"/>
      <c r="Z301" s="129"/>
      <c r="AA301" s="129"/>
      <c r="AE301" s="477"/>
      <c r="AF301" s="477"/>
      <c r="AM301" s="477">
        <f>12.7*H300*F300</f>
        <v>0</v>
      </c>
      <c r="AN301" s="477">
        <f>3.6*H300*F300</f>
        <v>0</v>
      </c>
      <c r="AO301" s="387"/>
      <c r="AP301" s="129"/>
      <c r="AQ301" s="129"/>
      <c r="AR301" s="129"/>
      <c r="AS301" s="129"/>
    </row>
    <row r="302" hidden="1">
      <c r="A302" s="16"/>
      <c r="B302" s="419" t="s">
        <v>452</v>
      </c>
      <c r="C302" s="168"/>
      <c r="D302" s="168" t="s">
        <v>650</v>
      </c>
      <c r="E302" s="466" t="s">
        <v>651</v>
      </c>
      <c r="F302" s="462">
        <v>0.0</v>
      </c>
      <c r="G302" s="420">
        <f>F302*10</f>
        <v>0</v>
      </c>
      <c r="H302" s="421">
        <v>0.5</v>
      </c>
      <c r="I302" s="468">
        <f>G302*H302</f>
        <v>0</v>
      </c>
      <c r="J302" s="338" t="s">
        <v>310</v>
      </c>
      <c r="K302" s="11"/>
      <c r="L302" s="16"/>
      <c r="M302" s="12"/>
      <c r="N302" s="12"/>
      <c r="O302" s="12"/>
      <c r="P302" s="415"/>
      <c r="Q302" s="12"/>
      <c r="R302" s="12"/>
      <c r="S302" s="12"/>
      <c r="T302" s="12"/>
      <c r="U302" s="12"/>
      <c r="V302" s="12"/>
      <c r="W302" s="12"/>
      <c r="X302" s="12"/>
      <c r="Y302" s="129"/>
      <c r="Z302" s="129"/>
      <c r="AA302" s="129"/>
      <c r="AB302" s="129"/>
      <c r="AC302" s="129"/>
      <c r="AP302" s="129"/>
      <c r="AQ302" s="129"/>
      <c r="AR302" s="129"/>
      <c r="AS302" s="129"/>
    </row>
    <row r="303" hidden="1">
      <c r="A303" s="16"/>
      <c r="B303" s="419"/>
      <c r="C303" s="168"/>
      <c r="D303" s="168"/>
      <c r="E303" s="466"/>
      <c r="F303" s="462">
        <v>0.0</v>
      </c>
      <c r="G303" s="420"/>
      <c r="H303" s="421"/>
      <c r="I303" s="468"/>
      <c r="J303" s="338"/>
      <c r="K303" s="11"/>
      <c r="L303" s="16"/>
      <c r="M303" s="12"/>
      <c r="N303" s="12"/>
      <c r="O303" s="12"/>
      <c r="P303" s="415"/>
      <c r="Q303" s="12"/>
      <c r="R303" s="12"/>
      <c r="S303" s="12"/>
      <c r="T303" s="12"/>
      <c r="U303" s="12"/>
      <c r="V303" s="12"/>
      <c r="W303" s="12"/>
      <c r="X303" s="12"/>
      <c r="Y303" s="129"/>
      <c r="Z303" s="129"/>
      <c r="AA303" s="129"/>
      <c r="AB303" s="129"/>
      <c r="AC303" s="129"/>
      <c r="AP303" s="129"/>
      <c r="AQ303" s="129"/>
      <c r="AR303" s="129"/>
      <c r="AS303" s="129"/>
    </row>
    <row r="304" hidden="1">
      <c r="A304" s="16"/>
      <c r="B304" s="474" t="s">
        <v>460</v>
      </c>
      <c r="C304" s="168"/>
      <c r="D304" s="168" t="s">
        <v>652</v>
      </c>
      <c r="E304" s="466" t="s">
        <v>634</v>
      </c>
      <c r="F304" s="462">
        <f>AD2</f>
        <v>0</v>
      </c>
      <c r="G304" s="420">
        <f>F304*100</f>
        <v>0</v>
      </c>
      <c r="H304" s="421">
        <v>0.15</v>
      </c>
      <c r="I304" s="468">
        <f>G304*H304</f>
        <v>0</v>
      </c>
      <c r="J304" s="338" t="s">
        <v>15</v>
      </c>
      <c r="K304" s="12"/>
      <c r="L304" s="16"/>
      <c r="M304" s="12"/>
      <c r="N304" s="12"/>
      <c r="O304" s="12"/>
      <c r="P304" s="415"/>
      <c r="Q304" s="12"/>
      <c r="R304" s="12"/>
      <c r="S304" s="12"/>
      <c r="T304" s="12"/>
      <c r="U304" s="12"/>
      <c r="V304" s="12"/>
      <c r="W304" s="12"/>
      <c r="X304" s="12"/>
      <c r="Y304" s="129"/>
      <c r="Z304" s="129"/>
      <c r="AA304" s="129"/>
      <c r="AB304" s="129"/>
      <c r="AC304" s="129"/>
      <c r="AD304" s="129"/>
      <c r="AK304" s="279">
        <f>I304*30%</f>
        <v>0</v>
      </c>
      <c r="AL304" s="279">
        <f>I304*20%</f>
        <v>0</v>
      </c>
      <c r="AM304" s="336">
        <f>I304*20%</f>
        <v>0</v>
      </c>
      <c r="AN304" s="279">
        <f>I304*10%</f>
        <v>0</v>
      </c>
      <c r="AO304" s="129"/>
      <c r="AP304" s="129"/>
      <c r="AQ304" s="129"/>
      <c r="AR304" s="129"/>
      <c r="AS304" s="129"/>
    </row>
    <row r="305" hidden="1">
      <c r="A305" s="16"/>
      <c r="B305" s="419"/>
      <c r="C305" s="168"/>
      <c r="D305" s="168"/>
      <c r="E305" s="466"/>
      <c r="F305" s="462">
        <f>AD2</f>
        <v>0</v>
      </c>
      <c r="G305" s="420"/>
      <c r="H305" s="421"/>
      <c r="I305" s="468"/>
      <c r="J305" s="338"/>
      <c r="K305" s="12"/>
      <c r="L305" s="16"/>
      <c r="M305" s="12"/>
      <c r="N305" s="12"/>
      <c r="O305" s="12"/>
      <c r="P305" s="415"/>
      <c r="Q305" s="12"/>
      <c r="R305" s="12"/>
      <c r="S305" s="12"/>
      <c r="T305" s="12"/>
      <c r="U305" s="12"/>
      <c r="V305" s="12"/>
      <c r="W305" s="12"/>
      <c r="X305" s="12"/>
      <c r="Y305" s="129"/>
      <c r="Z305" s="129"/>
      <c r="AA305" s="129"/>
      <c r="AB305" s="129"/>
      <c r="AC305" s="129"/>
      <c r="AD305" s="129"/>
      <c r="AK305" s="477"/>
      <c r="AL305" s="477"/>
      <c r="AM305" s="477">
        <f>12.7*H304*F304</f>
        <v>0</v>
      </c>
      <c r="AN305" s="477">
        <f>3.6*H304*F304</f>
        <v>0</v>
      </c>
      <c r="AO305" s="129"/>
      <c r="AP305" s="129"/>
      <c r="AQ305" s="129"/>
      <c r="AR305" s="129"/>
      <c r="AS305" s="129"/>
    </row>
    <row r="306" hidden="1">
      <c r="A306" s="16"/>
      <c r="B306" s="474" t="s">
        <v>460</v>
      </c>
      <c r="C306" s="168"/>
      <c r="D306" s="168" t="s">
        <v>653</v>
      </c>
      <c r="E306" s="466" t="s">
        <v>654</v>
      </c>
      <c r="F306" s="462">
        <f>AD2</f>
        <v>0</v>
      </c>
      <c r="G306" s="420">
        <f>F306*60</f>
        <v>0</v>
      </c>
      <c r="H306" s="421">
        <v>0.15</v>
      </c>
      <c r="I306" s="468">
        <f>G306*H306</f>
        <v>0</v>
      </c>
      <c r="J306" s="338" t="s">
        <v>15</v>
      </c>
      <c r="K306" s="12"/>
      <c r="L306" s="16"/>
      <c r="M306" s="12"/>
      <c r="N306" s="12"/>
      <c r="O306" s="12"/>
      <c r="P306" s="415"/>
      <c r="Q306" s="12"/>
      <c r="R306" s="12"/>
      <c r="S306" s="12"/>
      <c r="T306" s="12"/>
      <c r="U306" s="12"/>
      <c r="V306" s="12"/>
      <c r="W306" s="12"/>
      <c r="X306" s="12"/>
      <c r="Y306" s="129"/>
      <c r="Z306" s="129"/>
      <c r="AA306" s="129"/>
      <c r="AB306" s="129"/>
      <c r="AC306" s="129"/>
      <c r="AD306" s="129"/>
      <c r="AK306" s="279">
        <f>I306*30%</f>
        <v>0</v>
      </c>
      <c r="AL306" s="279">
        <f>I306*20%</f>
        <v>0</v>
      </c>
      <c r="AM306" s="336">
        <f>I306*20%</f>
        <v>0</v>
      </c>
      <c r="AN306" s="279">
        <f>I306*10%</f>
        <v>0</v>
      </c>
      <c r="AO306" s="129"/>
      <c r="AP306" s="129"/>
      <c r="AQ306" s="129"/>
      <c r="AR306" s="129"/>
      <c r="AS306" s="129"/>
    </row>
    <row r="307" hidden="1">
      <c r="A307" s="16"/>
      <c r="B307" s="419"/>
      <c r="C307" s="168"/>
      <c r="D307" s="168"/>
      <c r="E307" s="466"/>
      <c r="F307" s="462">
        <f>AD2</f>
        <v>0</v>
      </c>
      <c r="G307" s="420"/>
      <c r="H307" s="421"/>
      <c r="I307" s="468"/>
      <c r="J307" s="338"/>
      <c r="K307" s="12"/>
      <c r="L307" s="16"/>
      <c r="M307" s="12"/>
      <c r="N307" s="12"/>
      <c r="O307" s="12"/>
      <c r="P307" s="415"/>
      <c r="Q307" s="12"/>
      <c r="R307" s="12"/>
      <c r="S307" s="12"/>
      <c r="T307" s="12"/>
      <c r="U307" s="12"/>
      <c r="V307" s="12"/>
      <c r="W307" s="12"/>
      <c r="X307" s="12"/>
      <c r="Y307" s="129"/>
      <c r="Z307" s="129"/>
      <c r="AA307" s="129"/>
      <c r="AB307" s="129"/>
      <c r="AC307" s="129"/>
      <c r="AD307" s="129"/>
      <c r="AK307" s="477"/>
      <c r="AL307" s="477"/>
      <c r="AM307" s="477">
        <f>12.7*H306*F306</f>
        <v>0</v>
      </c>
      <c r="AN307" s="477">
        <f>3.6*H306*F306</f>
        <v>0</v>
      </c>
      <c r="AO307" s="129"/>
      <c r="AP307" s="129"/>
      <c r="AQ307" s="129"/>
      <c r="AR307" s="129"/>
      <c r="AS307" s="129"/>
    </row>
    <row r="308" hidden="1">
      <c r="A308" s="16"/>
      <c r="B308" s="474" t="s">
        <v>463</v>
      </c>
      <c r="C308" s="168"/>
      <c r="D308" s="168" t="s">
        <v>338</v>
      </c>
      <c r="E308" s="466" t="s">
        <v>655</v>
      </c>
      <c r="F308" s="462">
        <v>0.0</v>
      </c>
      <c r="G308" s="463">
        <f>300*F308</f>
        <v>0</v>
      </c>
      <c r="H308" s="421">
        <v>0.15</v>
      </c>
      <c r="I308" s="168">
        <f>G308*H308</f>
        <v>0</v>
      </c>
      <c r="J308" s="338" t="s">
        <v>15</v>
      </c>
      <c r="K308" s="264">
        <v>0.5</v>
      </c>
      <c r="L308" s="16"/>
      <c r="M308" s="12"/>
      <c r="N308" s="12"/>
      <c r="O308" s="12"/>
      <c r="P308" s="415"/>
      <c r="Q308" s="12"/>
      <c r="R308" s="12"/>
      <c r="S308" s="12"/>
      <c r="T308" s="12"/>
      <c r="U308" s="12"/>
      <c r="V308" s="12"/>
      <c r="W308" s="12"/>
      <c r="X308" s="12"/>
      <c r="Y308" s="129"/>
      <c r="Z308" s="129"/>
      <c r="AA308" s="129"/>
      <c r="AB308" s="129"/>
      <c r="AC308" s="129"/>
      <c r="AD308" s="129"/>
      <c r="AJ308" s="341">
        <f>I308*30%</f>
        <v>0</v>
      </c>
      <c r="AK308" s="341">
        <f>I308*20%</f>
        <v>0</v>
      </c>
      <c r="AL308" s="337">
        <f>I308*20%</f>
        <v>0</v>
      </c>
      <c r="AM308" s="341">
        <f>I308*10%</f>
        <v>0</v>
      </c>
      <c r="AN308" s="337">
        <f>I308*20%</f>
        <v>0</v>
      </c>
      <c r="AO308" s="129"/>
      <c r="AP308" s="129"/>
      <c r="AQ308" s="129"/>
      <c r="AR308" s="129"/>
      <c r="AS308" s="129"/>
    </row>
    <row r="309" hidden="1">
      <c r="A309" s="16"/>
      <c r="B309" s="419"/>
      <c r="C309" s="168"/>
      <c r="D309" s="168"/>
      <c r="E309" s="466"/>
      <c r="F309" s="462">
        <v>0.0</v>
      </c>
      <c r="G309" s="463"/>
      <c r="H309" s="421"/>
      <c r="I309" s="168"/>
      <c r="J309" s="338"/>
      <c r="K309" s="12"/>
      <c r="L309" s="16"/>
      <c r="M309" s="12"/>
      <c r="N309" s="12"/>
      <c r="O309" s="12"/>
      <c r="P309" s="415"/>
      <c r="Q309" s="12"/>
      <c r="R309" s="12"/>
      <c r="S309" s="12"/>
      <c r="T309" s="12"/>
      <c r="U309" s="12"/>
      <c r="V309" s="12"/>
      <c r="W309" s="12"/>
      <c r="X309" s="12"/>
      <c r="Y309" s="129"/>
      <c r="Z309" s="129"/>
      <c r="AA309" s="129"/>
      <c r="AB309" s="129"/>
      <c r="AC309" s="129"/>
      <c r="AD309" s="129"/>
      <c r="AJ309" s="477"/>
      <c r="AK309" s="477"/>
      <c r="AL309" s="477">
        <f>12.7*H308*F308</f>
        <v>0</v>
      </c>
      <c r="AM309" s="477">
        <f>3.6*H308*F308</f>
        <v>0</v>
      </c>
      <c r="AN309" s="387"/>
      <c r="AO309" s="129"/>
      <c r="AP309" s="129"/>
      <c r="AQ309" s="129"/>
      <c r="AR309" s="129"/>
      <c r="AS309" s="129"/>
    </row>
    <row r="310" hidden="1">
      <c r="A310" s="16"/>
      <c r="B310" s="478" t="s">
        <v>463</v>
      </c>
      <c r="C310" s="168"/>
      <c r="D310" s="168" t="s">
        <v>343</v>
      </c>
      <c r="E310" s="466" t="s">
        <v>640</v>
      </c>
      <c r="F310" s="462">
        <v>0.0</v>
      </c>
      <c r="G310" s="463">
        <f>F310*100</f>
        <v>0</v>
      </c>
      <c r="H310" s="421">
        <v>0.2</v>
      </c>
      <c r="I310" s="168">
        <f>G310*H310</f>
        <v>0</v>
      </c>
      <c r="J310" s="338" t="s">
        <v>80</v>
      </c>
      <c r="K310" s="264">
        <v>0.5</v>
      </c>
      <c r="L310" s="16"/>
      <c r="M310" s="12"/>
      <c r="N310" s="12"/>
      <c r="O310" s="12"/>
      <c r="P310" s="415"/>
      <c r="Q310" s="12"/>
      <c r="R310" s="12"/>
      <c r="S310" s="12"/>
      <c r="T310" s="12"/>
      <c r="U310" s="12"/>
      <c r="V310" s="12"/>
      <c r="W310" s="12"/>
      <c r="X310" s="12"/>
      <c r="Y310" s="129"/>
      <c r="Z310" s="129"/>
      <c r="AA310" s="129"/>
      <c r="AB310" s="129"/>
      <c r="AC310" s="129"/>
      <c r="AD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</row>
    <row r="311" hidden="1">
      <c r="A311" s="16"/>
      <c r="B311" s="419"/>
      <c r="C311" s="168"/>
      <c r="D311" s="168"/>
      <c r="E311" s="466"/>
      <c r="F311" s="473">
        <v>0.0</v>
      </c>
      <c r="G311" s="463"/>
      <c r="H311" s="421"/>
      <c r="I311" s="168"/>
      <c r="J311" s="479"/>
      <c r="K311" s="37"/>
      <c r="L311" s="16"/>
      <c r="M311" s="12"/>
      <c r="N311" s="12"/>
      <c r="O311" s="415"/>
      <c r="P311" s="415"/>
      <c r="Q311" s="197"/>
      <c r="R311" s="415"/>
      <c r="S311" s="415"/>
      <c r="T311" s="12"/>
      <c r="U311" s="12"/>
      <c r="V311" s="12"/>
      <c r="W311" s="12"/>
      <c r="X311" s="12"/>
      <c r="Y311" s="129"/>
      <c r="Z311" s="129"/>
      <c r="AA311" s="129"/>
      <c r="AB311" s="129"/>
      <c r="AC311" s="129"/>
      <c r="AD311" s="129"/>
      <c r="AJ311" s="129"/>
      <c r="AK311" s="129"/>
      <c r="AL311" s="129"/>
      <c r="AM311" s="129"/>
      <c r="AN311" s="12"/>
      <c r="AO311" s="12"/>
      <c r="AP311" s="12"/>
      <c r="AQ311" s="12"/>
      <c r="AR311" s="12"/>
      <c r="AS311" s="12"/>
    </row>
    <row r="312" hidden="1">
      <c r="A312" s="16"/>
      <c r="B312" s="474" t="s">
        <v>463</v>
      </c>
      <c r="C312" s="168"/>
      <c r="D312" s="168" t="s">
        <v>105</v>
      </c>
      <c r="E312" s="168" t="s">
        <v>656</v>
      </c>
      <c r="F312" s="462">
        <f>AD2</f>
        <v>0</v>
      </c>
      <c r="G312" s="420">
        <f>F312*60</f>
        <v>0</v>
      </c>
      <c r="H312" s="421">
        <v>0.15</v>
      </c>
      <c r="I312" s="468">
        <f>G312*H312</f>
        <v>0</v>
      </c>
      <c r="J312" s="338" t="s">
        <v>15</v>
      </c>
      <c r="K312" s="11"/>
      <c r="L312" s="16"/>
      <c r="M312" s="12"/>
      <c r="N312" s="12"/>
      <c r="O312" s="12"/>
      <c r="P312" s="415"/>
      <c r="Q312" s="12"/>
      <c r="R312" s="12"/>
      <c r="S312" s="12"/>
      <c r="T312" s="12"/>
      <c r="U312" s="12"/>
      <c r="V312" s="12"/>
      <c r="W312" s="12"/>
      <c r="X312" s="12"/>
      <c r="Y312" s="129"/>
      <c r="Z312" s="129"/>
      <c r="AA312" s="129"/>
      <c r="AB312" s="129"/>
      <c r="AC312" s="129"/>
      <c r="AD312" s="129"/>
      <c r="AE312" s="129"/>
      <c r="AJ312" s="129"/>
      <c r="AL312" s="279">
        <f>I312*30%</f>
        <v>0</v>
      </c>
      <c r="AM312" s="279">
        <f>I312*20%</f>
        <v>0</v>
      </c>
      <c r="AN312" s="336">
        <f>I312*20%</f>
        <v>0</v>
      </c>
      <c r="AO312" s="129"/>
      <c r="AP312" s="129"/>
      <c r="AQ312" s="129"/>
      <c r="AR312" s="129"/>
      <c r="AS312" s="129"/>
    </row>
    <row r="313" hidden="1">
      <c r="A313" s="16"/>
      <c r="B313" s="419"/>
      <c r="C313" s="168"/>
      <c r="D313" s="168"/>
      <c r="E313" s="168"/>
      <c r="F313" s="462">
        <f>AD2</f>
        <v>0</v>
      </c>
      <c r="G313" s="420"/>
      <c r="H313" s="421"/>
      <c r="I313" s="468"/>
      <c r="J313" s="338"/>
      <c r="K313" s="11"/>
      <c r="L313" s="16"/>
      <c r="M313" s="12"/>
      <c r="N313" s="12"/>
      <c r="O313" s="12"/>
      <c r="P313" s="415"/>
      <c r="Q313" s="12"/>
      <c r="R313" s="12"/>
      <c r="S313" s="12"/>
      <c r="T313" s="12"/>
      <c r="U313" s="12"/>
      <c r="V313" s="12"/>
      <c r="W313" s="12"/>
      <c r="X313" s="12"/>
      <c r="Y313" s="129"/>
      <c r="Z313" s="129"/>
      <c r="AA313" s="129"/>
      <c r="AB313" s="129"/>
      <c r="AC313" s="129"/>
      <c r="AD313" s="129"/>
      <c r="AE313" s="129"/>
      <c r="AJ313" s="129"/>
      <c r="AL313" s="477"/>
      <c r="AM313" s="477"/>
      <c r="AN313" s="477">
        <f>12.7*H312*F312</f>
        <v>0</v>
      </c>
      <c r="AO313" s="129"/>
      <c r="AP313" s="129"/>
      <c r="AQ313" s="129"/>
      <c r="AR313" s="129"/>
      <c r="AS313" s="129"/>
    </row>
    <row r="314" hidden="1">
      <c r="A314" s="16"/>
      <c r="B314" s="474" t="s">
        <v>463</v>
      </c>
      <c r="C314" s="168"/>
      <c r="D314" s="168" t="s">
        <v>157</v>
      </c>
      <c r="E314" s="168" t="s">
        <v>657</v>
      </c>
      <c r="F314" s="462">
        <f>AD2</f>
        <v>0</v>
      </c>
      <c r="G314" s="420">
        <f>F314*150</f>
        <v>0</v>
      </c>
      <c r="H314" s="421">
        <v>0.15</v>
      </c>
      <c r="I314" s="468">
        <f>G314*H314</f>
        <v>0</v>
      </c>
      <c r="J314" s="338" t="s">
        <v>80</v>
      </c>
      <c r="K314" s="264">
        <v>0.5</v>
      </c>
      <c r="L314" s="16"/>
      <c r="M314" s="12"/>
      <c r="N314" s="12"/>
      <c r="O314" s="12"/>
      <c r="P314" s="415"/>
      <c r="Q314" s="12"/>
      <c r="R314" s="12"/>
      <c r="S314" s="12"/>
      <c r="T314" s="12"/>
      <c r="U314" s="12"/>
      <c r="V314" s="12"/>
      <c r="W314" s="12"/>
      <c r="X314" s="12"/>
      <c r="Y314" s="129"/>
      <c r="Z314" s="129"/>
      <c r="AA314" s="129"/>
      <c r="AB314" s="129"/>
      <c r="AC314" s="129"/>
      <c r="AD314" s="129"/>
      <c r="AE314" s="129"/>
      <c r="AJ314" s="129"/>
      <c r="AK314" s="279">
        <f>I314*30%</f>
        <v>0</v>
      </c>
      <c r="AL314" s="279">
        <f>I314*20%</f>
        <v>0</v>
      </c>
      <c r="AM314" s="336">
        <f>I314*20%</f>
        <v>0</v>
      </c>
      <c r="AN314" s="279">
        <f>I314*10%</f>
        <v>0</v>
      </c>
      <c r="AO314" s="129"/>
      <c r="AP314" s="129"/>
      <c r="AQ314" s="129"/>
      <c r="AR314" s="129"/>
      <c r="AS314" s="129"/>
    </row>
    <row r="315" hidden="1">
      <c r="A315" s="16"/>
      <c r="B315" s="419"/>
      <c r="C315" s="168"/>
      <c r="D315" s="168"/>
      <c r="E315" s="466"/>
      <c r="F315" s="473">
        <f>AD2</f>
        <v>0</v>
      </c>
      <c r="G315" s="420"/>
      <c r="H315" s="421"/>
      <c r="I315" s="468"/>
      <c r="J315" s="479"/>
      <c r="K315" s="37"/>
      <c r="L315" s="16"/>
      <c r="M315" s="12"/>
      <c r="N315" s="12"/>
      <c r="O315" s="415"/>
      <c r="P315" s="415"/>
      <c r="Q315" s="197"/>
      <c r="R315" s="415"/>
      <c r="S315" s="415"/>
      <c r="T315" s="12"/>
      <c r="U315" s="12"/>
      <c r="V315" s="12"/>
      <c r="W315" s="12"/>
      <c r="X315" s="12"/>
      <c r="Y315" s="129"/>
      <c r="Z315" s="129"/>
      <c r="AA315" s="129"/>
      <c r="AB315" s="129"/>
      <c r="AC315" s="129"/>
      <c r="AD315" s="129"/>
      <c r="AE315" s="129"/>
      <c r="AJ315" s="129"/>
      <c r="AK315" s="477"/>
      <c r="AL315" s="477"/>
      <c r="AM315" s="477">
        <f>12.7*H314*F314</f>
        <v>0</v>
      </c>
      <c r="AN315" s="477">
        <f>3.6*H314*F314</f>
        <v>0</v>
      </c>
      <c r="AO315" s="12"/>
      <c r="AP315" s="12"/>
      <c r="AQ315" s="12"/>
      <c r="AR315" s="12"/>
      <c r="AS315" s="12"/>
    </row>
    <row r="316" hidden="1">
      <c r="A316" s="16"/>
      <c r="B316" s="478" t="s">
        <v>463</v>
      </c>
      <c r="C316" s="168"/>
      <c r="D316" s="168" t="s">
        <v>658</v>
      </c>
      <c r="E316" s="168" t="s">
        <v>659</v>
      </c>
      <c r="F316" s="462">
        <v>0.0</v>
      </c>
      <c r="G316" s="463">
        <f>F316*150</f>
        <v>0</v>
      </c>
      <c r="H316" s="421">
        <v>0.15</v>
      </c>
      <c r="I316" s="168">
        <f>G316*H316</f>
        <v>0</v>
      </c>
      <c r="J316" s="338" t="s">
        <v>15</v>
      </c>
      <c r="K316" s="264">
        <v>0.5</v>
      </c>
      <c r="L316" s="16"/>
      <c r="M316" s="12"/>
      <c r="N316" s="12"/>
      <c r="O316" s="12"/>
      <c r="P316" s="415"/>
      <c r="Q316" s="12"/>
      <c r="R316" s="12"/>
      <c r="S316" s="12"/>
      <c r="T316" s="12"/>
      <c r="U316" s="12"/>
      <c r="V316" s="12"/>
      <c r="W316" s="12"/>
      <c r="X316" s="12"/>
      <c r="Y316" s="129"/>
      <c r="Z316" s="129"/>
      <c r="AA316" s="129"/>
      <c r="AB316" s="129"/>
      <c r="AC316" s="129"/>
      <c r="AD316" s="129"/>
      <c r="AE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</row>
    <row r="317" hidden="1">
      <c r="A317" s="16"/>
      <c r="B317" s="419"/>
      <c r="C317" s="168"/>
      <c r="D317" s="168"/>
      <c r="E317" s="168"/>
      <c r="F317" s="462">
        <v>0.0</v>
      </c>
      <c r="G317" s="463"/>
      <c r="H317" s="421"/>
      <c r="I317" s="168"/>
      <c r="J317" s="338"/>
      <c r="K317" s="11"/>
      <c r="L317" s="16"/>
      <c r="M317" s="12"/>
      <c r="N317" s="12"/>
      <c r="O317" s="12"/>
      <c r="P317" s="415"/>
      <c r="Q317" s="12"/>
      <c r="R317" s="12"/>
      <c r="S317" s="12"/>
      <c r="T317" s="12"/>
      <c r="U317" s="12"/>
      <c r="V317" s="12"/>
      <c r="W317" s="12"/>
      <c r="X317" s="12"/>
      <c r="Y317" s="129"/>
      <c r="Z317" s="129"/>
      <c r="AA317" s="129"/>
      <c r="AB317" s="129"/>
      <c r="AC317" s="129"/>
      <c r="AD317" s="129"/>
      <c r="AE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</row>
    <row r="318" hidden="1">
      <c r="A318" s="16"/>
      <c r="B318" s="474" t="s">
        <v>463</v>
      </c>
      <c r="C318" s="168"/>
      <c r="D318" s="168" t="s">
        <v>522</v>
      </c>
      <c r="E318" s="168" t="s">
        <v>660</v>
      </c>
      <c r="F318" s="462">
        <f>AD2</f>
        <v>0</v>
      </c>
      <c r="G318" s="420">
        <f>300*F318</f>
        <v>0</v>
      </c>
      <c r="H318" s="421">
        <v>0.15</v>
      </c>
      <c r="I318" s="468">
        <f>G318*H318</f>
        <v>0</v>
      </c>
      <c r="J318" s="338" t="s">
        <v>15</v>
      </c>
      <c r="K318" s="264">
        <v>0.5</v>
      </c>
      <c r="L318" s="16"/>
      <c r="M318" s="12"/>
      <c r="N318" s="12"/>
      <c r="O318" s="12"/>
      <c r="P318" s="415"/>
      <c r="Q318" s="12"/>
      <c r="R318" s="12"/>
      <c r="S318" s="12"/>
      <c r="T318" s="12"/>
      <c r="U318" s="12"/>
      <c r="V318" s="12"/>
      <c r="W318" s="12"/>
      <c r="X318" s="12"/>
      <c r="Y318" s="129"/>
      <c r="Z318" s="129"/>
      <c r="AA318" s="129"/>
      <c r="AB318" s="129"/>
      <c r="AC318" s="129"/>
      <c r="AD318" s="129"/>
      <c r="AE318" s="129"/>
      <c r="AJ318" s="129"/>
      <c r="AL318" s="279">
        <f>I318*30%</f>
        <v>0</v>
      </c>
      <c r="AM318" s="279">
        <f>I318*20%</f>
        <v>0</v>
      </c>
      <c r="AN318" s="336">
        <f>I318*20%</f>
        <v>0</v>
      </c>
      <c r="AO318" s="129"/>
      <c r="AP318" s="129"/>
      <c r="AQ318" s="129"/>
      <c r="AR318" s="129"/>
      <c r="AS318" s="129"/>
    </row>
    <row r="319" hidden="1">
      <c r="A319" s="16"/>
      <c r="B319" s="419"/>
      <c r="C319" s="168"/>
      <c r="D319" s="168"/>
      <c r="E319" s="466"/>
      <c r="F319" s="473">
        <f>AD2</f>
        <v>0</v>
      </c>
      <c r="G319" s="420"/>
      <c r="H319" s="421"/>
      <c r="I319" s="468"/>
      <c r="J319" s="479"/>
      <c r="K319" s="37"/>
      <c r="L319" s="16"/>
      <c r="M319" s="12"/>
      <c r="N319" s="12"/>
      <c r="O319" s="415"/>
      <c r="P319" s="415"/>
      <c r="Q319" s="197"/>
      <c r="R319" s="415"/>
      <c r="S319" s="415"/>
      <c r="T319" s="12"/>
      <c r="U319" s="12"/>
      <c r="V319" s="12"/>
      <c r="W319" s="12"/>
      <c r="X319" s="12"/>
      <c r="Y319" s="129"/>
      <c r="Z319" s="129"/>
      <c r="AA319" s="129"/>
      <c r="AB319" s="129"/>
      <c r="AC319" s="129"/>
      <c r="AD319" s="129"/>
      <c r="AE319" s="129"/>
      <c r="AJ319" s="129"/>
      <c r="AL319" s="477"/>
      <c r="AM319" s="477"/>
      <c r="AN319" s="477">
        <f>12.7*H318*F318</f>
        <v>0</v>
      </c>
      <c r="AO319" s="12"/>
      <c r="AP319" s="12"/>
      <c r="AQ319" s="12"/>
      <c r="AR319" s="12"/>
      <c r="AS319" s="12"/>
    </row>
    <row r="320" hidden="1">
      <c r="A320" s="16"/>
      <c r="B320" s="474" t="s">
        <v>467</v>
      </c>
      <c r="C320" s="168"/>
      <c r="D320" s="168" t="s">
        <v>661</v>
      </c>
      <c r="E320" s="466" t="s">
        <v>662</v>
      </c>
      <c r="F320" s="462">
        <f>AD2</f>
        <v>0</v>
      </c>
      <c r="G320" s="420">
        <f>F320*30</f>
        <v>0</v>
      </c>
      <c r="H320" s="421">
        <v>0.15</v>
      </c>
      <c r="I320" s="468">
        <f>G320*H320</f>
        <v>0</v>
      </c>
      <c r="J320" s="338" t="s">
        <v>15</v>
      </c>
      <c r="K320" s="37"/>
      <c r="L320" s="16"/>
      <c r="M320" s="12"/>
      <c r="N320" s="12"/>
      <c r="O320" s="12"/>
      <c r="P320" s="415"/>
      <c r="Q320" s="12"/>
      <c r="R320" s="12"/>
      <c r="S320" s="12"/>
      <c r="T320" s="12"/>
      <c r="U320" s="12"/>
      <c r="V320" s="12"/>
      <c r="W320" s="12"/>
      <c r="X320" s="12"/>
      <c r="Y320" s="129"/>
      <c r="Z320" s="129"/>
      <c r="AA320" s="129"/>
      <c r="AB320" s="129"/>
      <c r="AC320" s="129"/>
      <c r="AD320" s="129"/>
      <c r="AE320" s="129"/>
      <c r="AJ320" s="129"/>
      <c r="AM320" s="279">
        <f>I320*30%</f>
        <v>0</v>
      </c>
      <c r="AN320" s="279">
        <f>I320*20%</f>
        <v>0</v>
      </c>
      <c r="AO320" s="129"/>
      <c r="AP320" s="129"/>
      <c r="AQ320" s="129"/>
      <c r="AR320" s="129"/>
      <c r="AS320" s="129"/>
    </row>
    <row r="321" hidden="1">
      <c r="A321" s="16"/>
      <c r="B321" s="419"/>
      <c r="C321" s="168"/>
      <c r="D321" s="168"/>
      <c r="E321" s="466"/>
      <c r="F321" s="462">
        <f>AD2</f>
        <v>0</v>
      </c>
      <c r="G321" s="420"/>
      <c r="H321" s="421"/>
      <c r="I321" s="468"/>
      <c r="J321" s="338"/>
      <c r="K321" s="37"/>
      <c r="L321" s="16"/>
      <c r="M321" s="12"/>
      <c r="N321" s="12"/>
      <c r="O321" s="12"/>
      <c r="P321" s="415"/>
      <c r="Q321" s="12"/>
      <c r="R321" s="12"/>
      <c r="S321" s="12"/>
      <c r="T321" s="12"/>
      <c r="U321" s="12"/>
      <c r="V321" s="12"/>
      <c r="W321" s="12"/>
      <c r="X321" s="12"/>
      <c r="Y321" s="129"/>
      <c r="Z321" s="129"/>
      <c r="AA321" s="129"/>
      <c r="AB321" s="129"/>
      <c r="AC321" s="129"/>
      <c r="AD321" s="129"/>
      <c r="AE321" s="129"/>
      <c r="AJ321" s="129"/>
      <c r="AM321" s="477"/>
      <c r="AN321" s="477"/>
      <c r="AO321" s="129"/>
      <c r="AP321" s="129"/>
      <c r="AQ321" s="129"/>
      <c r="AR321" s="129"/>
      <c r="AS321" s="129"/>
    </row>
    <row r="322" hidden="1">
      <c r="A322" s="16"/>
      <c r="B322" s="474" t="s">
        <v>467</v>
      </c>
      <c r="C322" s="168"/>
      <c r="D322" s="168" t="s">
        <v>324</v>
      </c>
      <c r="E322" s="466" t="s">
        <v>663</v>
      </c>
      <c r="F322" s="462">
        <f>AD2</f>
        <v>0</v>
      </c>
      <c r="G322" s="420">
        <f>F322*80</f>
        <v>0</v>
      </c>
      <c r="H322" s="421">
        <v>0.25</v>
      </c>
      <c r="I322" s="468">
        <f>G322*H322</f>
        <v>0</v>
      </c>
      <c r="J322" s="338" t="s">
        <v>15</v>
      </c>
      <c r="K322" s="37"/>
      <c r="L322" s="16"/>
      <c r="M322" s="12"/>
      <c r="N322" s="12"/>
      <c r="O322" s="12"/>
      <c r="P322" s="415"/>
      <c r="Q322" s="12"/>
      <c r="R322" s="12"/>
      <c r="S322" s="12"/>
      <c r="T322" s="12"/>
      <c r="U322" s="12"/>
      <c r="V322" s="12"/>
      <c r="W322" s="12"/>
      <c r="X322" s="12"/>
      <c r="Y322" s="129"/>
      <c r="Z322" s="129"/>
      <c r="AA322" s="129"/>
      <c r="AB322" s="129"/>
      <c r="AC322" s="129"/>
      <c r="AD322" s="129"/>
      <c r="AE322" s="129"/>
      <c r="AJ322" s="129"/>
      <c r="AM322" s="279">
        <f>I322*30%</f>
        <v>0</v>
      </c>
      <c r="AN322" s="279">
        <f>I322*20%</f>
        <v>0</v>
      </c>
      <c r="AO322" s="129"/>
      <c r="AP322" s="129"/>
      <c r="AQ322" s="129"/>
      <c r="AR322" s="129"/>
      <c r="AS322" s="129"/>
    </row>
    <row r="323" hidden="1">
      <c r="A323" s="16"/>
      <c r="B323" s="419"/>
      <c r="C323" s="168"/>
      <c r="D323" s="168"/>
      <c r="E323" s="466"/>
      <c r="F323" s="462">
        <f>AD2</f>
        <v>0</v>
      </c>
      <c r="G323" s="420"/>
      <c r="H323" s="421"/>
      <c r="I323" s="468"/>
      <c r="J323" s="338"/>
      <c r="K323" s="37"/>
      <c r="L323" s="16"/>
      <c r="M323" s="12"/>
      <c r="N323" s="12"/>
      <c r="O323" s="12"/>
      <c r="P323" s="415"/>
      <c r="Q323" s="12"/>
      <c r="R323" s="12"/>
      <c r="S323" s="12"/>
      <c r="T323" s="12"/>
      <c r="U323" s="12"/>
      <c r="V323" s="12"/>
      <c r="W323" s="12"/>
      <c r="X323" s="12"/>
      <c r="Y323" s="129"/>
      <c r="Z323" s="129"/>
      <c r="AA323" s="129"/>
      <c r="AB323" s="129"/>
      <c r="AC323" s="129"/>
      <c r="AD323" s="129"/>
      <c r="AE323" s="129"/>
      <c r="AJ323" s="129"/>
      <c r="AM323" s="477"/>
      <c r="AN323" s="477"/>
      <c r="AO323" s="129"/>
      <c r="AP323" s="129"/>
      <c r="AQ323" s="129"/>
      <c r="AR323" s="129"/>
      <c r="AS323" s="129"/>
    </row>
    <row r="324" hidden="1">
      <c r="A324" s="16"/>
      <c r="B324" s="474" t="s">
        <v>467</v>
      </c>
      <c r="C324" s="168"/>
      <c r="D324" s="168" t="s">
        <v>664</v>
      </c>
      <c r="E324" s="466" t="s">
        <v>665</v>
      </c>
      <c r="F324" s="462">
        <f>AD2</f>
        <v>0</v>
      </c>
      <c r="G324" s="420">
        <f>150*F324</f>
        <v>0</v>
      </c>
      <c r="H324" s="421">
        <v>0.15</v>
      </c>
      <c r="I324" s="468">
        <f>G324*H324</f>
        <v>0</v>
      </c>
      <c r="J324" s="338" t="s">
        <v>15</v>
      </c>
      <c r="K324" s="37"/>
      <c r="L324" s="16"/>
      <c r="M324" s="12"/>
      <c r="N324" s="12"/>
      <c r="O324" s="12"/>
      <c r="P324" s="415"/>
      <c r="Q324" s="12"/>
      <c r="R324" s="12"/>
      <c r="S324" s="12"/>
      <c r="T324" s="12"/>
      <c r="U324" s="12"/>
      <c r="V324" s="12"/>
      <c r="W324" s="12"/>
      <c r="X324" s="12"/>
      <c r="Y324" s="129"/>
      <c r="Z324" s="129"/>
      <c r="AA324" s="129"/>
      <c r="AB324" s="129"/>
      <c r="AC324" s="129"/>
      <c r="AD324" s="129"/>
      <c r="AE324" s="129"/>
      <c r="AJ324" s="129"/>
      <c r="AM324" s="279">
        <f>I324*30%</f>
        <v>0</v>
      </c>
      <c r="AN324" s="279">
        <f>I324*20%</f>
        <v>0</v>
      </c>
      <c r="AO324" s="129"/>
      <c r="AP324" s="129"/>
      <c r="AQ324" s="129"/>
      <c r="AR324" s="129"/>
      <c r="AS324" s="129"/>
    </row>
    <row r="325" hidden="1">
      <c r="A325" s="16"/>
      <c r="B325" s="419"/>
      <c r="C325" s="168"/>
      <c r="D325" s="168"/>
      <c r="E325" s="466"/>
      <c r="F325" s="462">
        <f>AD2</f>
        <v>0</v>
      </c>
      <c r="G325" s="420"/>
      <c r="H325" s="421"/>
      <c r="I325" s="468"/>
      <c r="J325" s="338"/>
      <c r="K325" s="37"/>
      <c r="L325" s="16"/>
      <c r="M325" s="12"/>
      <c r="N325" s="12"/>
      <c r="O325" s="12"/>
      <c r="P325" s="415"/>
      <c r="Q325" s="12"/>
      <c r="R325" s="12"/>
      <c r="S325" s="12"/>
      <c r="T325" s="12"/>
      <c r="U325" s="12"/>
      <c r="V325" s="12"/>
      <c r="W325" s="12"/>
      <c r="X325" s="12"/>
      <c r="Y325" s="129"/>
      <c r="Z325" s="129"/>
      <c r="AA325" s="129"/>
      <c r="AB325" s="129"/>
      <c r="AC325" s="129"/>
      <c r="AD325" s="129"/>
      <c r="AE325" s="129"/>
      <c r="AJ325" s="129"/>
      <c r="AM325" s="477"/>
      <c r="AN325" s="477"/>
      <c r="AO325" s="129"/>
      <c r="AP325" s="129"/>
      <c r="AQ325" s="129"/>
      <c r="AR325" s="129"/>
      <c r="AS325" s="129"/>
    </row>
    <row r="326" hidden="1">
      <c r="A326" s="16"/>
      <c r="B326" s="480">
        <v>46054.0</v>
      </c>
      <c r="C326" s="168"/>
      <c r="D326" s="168" t="s">
        <v>132</v>
      </c>
      <c r="E326" s="466" t="s">
        <v>640</v>
      </c>
      <c r="F326" s="462">
        <v>0.0</v>
      </c>
      <c r="G326" s="420">
        <f>F326*400</f>
        <v>0</v>
      </c>
      <c r="H326" s="421">
        <v>0.25</v>
      </c>
      <c r="I326" s="468">
        <f>G326*H326</f>
        <v>0</v>
      </c>
      <c r="J326" s="338" t="s">
        <v>80</v>
      </c>
      <c r="K326" s="11"/>
      <c r="L326" s="16"/>
      <c r="M326" s="12"/>
      <c r="N326" s="12"/>
      <c r="O326" s="12"/>
      <c r="P326" s="415"/>
      <c r="Q326" s="12"/>
      <c r="R326" s="12"/>
      <c r="S326" s="12"/>
      <c r="T326" s="12"/>
      <c r="U326" s="12"/>
      <c r="V326" s="12"/>
      <c r="W326" s="12"/>
      <c r="X326" s="12"/>
      <c r="Y326" s="129"/>
      <c r="AL326" s="481">
        <f>F326*I326*10%*59%</f>
        <v>0</v>
      </c>
      <c r="AM326" s="481">
        <f>F326*I326*10%*59%+F326*I326*40%*41%</f>
        <v>0</v>
      </c>
      <c r="AN326" s="481">
        <f>F326*I326*15%*59%</f>
        <v>0</v>
      </c>
      <c r="AO326" s="129"/>
      <c r="AP326" s="129"/>
      <c r="AQ326" s="129"/>
      <c r="AR326" s="129"/>
      <c r="AS326" s="129"/>
    </row>
    <row r="327" hidden="1">
      <c r="A327" s="16"/>
      <c r="B327" s="419"/>
      <c r="C327" s="168"/>
      <c r="D327" s="168"/>
      <c r="E327" s="466"/>
      <c r="F327" s="473">
        <v>0.0</v>
      </c>
      <c r="G327" s="420"/>
      <c r="H327" s="421"/>
      <c r="I327" s="468"/>
      <c r="J327" s="479"/>
      <c r="K327" s="11"/>
      <c r="L327" s="16"/>
      <c r="M327" s="12"/>
      <c r="N327" s="12"/>
      <c r="O327" s="12"/>
      <c r="P327" s="415"/>
      <c r="Q327" s="12"/>
      <c r="R327" s="12"/>
      <c r="S327" s="12"/>
      <c r="T327" s="12"/>
      <c r="U327" s="12"/>
      <c r="V327" s="12"/>
      <c r="W327" s="12"/>
      <c r="X327" s="12"/>
      <c r="Y327" s="129"/>
      <c r="AL327" s="387">
        <f>F326*H326*1*4</f>
        <v>0</v>
      </c>
      <c r="AM327" s="387"/>
      <c r="AN327" s="387"/>
      <c r="AO327" s="129"/>
      <c r="AP327" s="129"/>
      <c r="AQ327" s="129"/>
      <c r="AR327" s="129"/>
      <c r="AS327" s="129"/>
    </row>
    <row r="328" hidden="1">
      <c r="A328" s="16"/>
      <c r="B328" s="446" t="s">
        <v>463</v>
      </c>
      <c r="C328" s="104"/>
      <c r="D328" s="440" t="s">
        <v>132</v>
      </c>
      <c r="E328" s="440" t="s">
        <v>666</v>
      </c>
      <c r="F328" s="60">
        <v>0.0</v>
      </c>
      <c r="G328" s="464">
        <f>F328*50</f>
        <v>0</v>
      </c>
      <c r="H328" s="448">
        <v>1.0</v>
      </c>
      <c r="I328" s="465">
        <f>G328*H328</f>
        <v>0</v>
      </c>
      <c r="J328" s="374" t="s">
        <v>55</v>
      </c>
      <c r="K328" s="11"/>
      <c r="L328" s="16"/>
      <c r="M328" s="12"/>
      <c r="N328" s="12"/>
      <c r="O328" s="12"/>
      <c r="P328" s="415"/>
      <c r="Q328" s="12"/>
      <c r="R328" s="12"/>
      <c r="S328" s="12"/>
      <c r="T328" s="12"/>
      <c r="U328" s="12"/>
      <c r="V328" s="12"/>
      <c r="W328" s="12"/>
      <c r="X328" s="12"/>
      <c r="Y328" s="129"/>
      <c r="Z328" s="129"/>
      <c r="AA328" s="129"/>
      <c r="AB328" s="129"/>
      <c r="AC328" s="129"/>
      <c r="AD328" s="129"/>
      <c r="AF328" s="445">
        <f>I328*20%</f>
        <v>0</v>
      </c>
      <c r="AG328" s="341"/>
      <c r="AH328" s="337"/>
      <c r="AI328" s="341"/>
      <c r="AJ328" s="337"/>
      <c r="AO328" s="129"/>
      <c r="AP328" s="129"/>
      <c r="AQ328" s="129"/>
      <c r="AR328" s="129"/>
      <c r="AS328" s="129"/>
    </row>
    <row r="329" hidden="1">
      <c r="A329" s="16"/>
      <c r="B329" s="446"/>
      <c r="C329" s="104"/>
      <c r="D329" s="440"/>
      <c r="E329" s="440"/>
      <c r="F329" s="60">
        <v>0.0</v>
      </c>
      <c r="G329" s="464"/>
      <c r="H329" s="448"/>
      <c r="I329" s="476"/>
      <c r="J329" s="374"/>
      <c r="K329" s="11"/>
      <c r="L329" s="16"/>
      <c r="M329" s="12"/>
      <c r="N329" s="12"/>
      <c r="O329" s="12"/>
      <c r="P329" s="415"/>
      <c r="Q329" s="12"/>
      <c r="R329" s="12"/>
      <c r="S329" s="12"/>
      <c r="T329" s="12"/>
      <c r="U329" s="12"/>
      <c r="V329" s="12"/>
      <c r="W329" s="12"/>
      <c r="X329" s="12"/>
      <c r="Y329" s="129"/>
      <c r="Z329" s="129"/>
      <c r="AA329" s="129"/>
      <c r="AB329" s="129"/>
      <c r="AC329" s="129"/>
      <c r="AD329" s="129"/>
      <c r="AF329" s="341"/>
      <c r="AG329" s="341"/>
      <c r="AH329" s="337"/>
      <c r="AI329" s="341"/>
      <c r="AJ329" s="337"/>
      <c r="AO329" s="129"/>
      <c r="AP329" s="129"/>
      <c r="AQ329" s="129"/>
      <c r="AR329" s="129"/>
      <c r="AS329" s="129"/>
    </row>
    <row r="330" hidden="1">
      <c r="A330" s="16"/>
      <c r="B330" s="482" t="s">
        <v>463</v>
      </c>
      <c r="C330" s="170">
        <v>14.0</v>
      </c>
      <c r="D330" s="168" t="s">
        <v>628</v>
      </c>
      <c r="E330" s="466" t="s">
        <v>667</v>
      </c>
      <c r="F330" s="462">
        <v>0.0</v>
      </c>
      <c r="G330" s="420">
        <f>F330*10</f>
        <v>0</v>
      </c>
      <c r="H330" s="421">
        <v>0.5</v>
      </c>
      <c r="I330" s="468">
        <f>G330*H330</f>
        <v>0</v>
      </c>
      <c r="J330" s="338" t="s">
        <v>55</v>
      </c>
      <c r="K330" s="11"/>
      <c r="L330" s="16"/>
      <c r="M330" s="12"/>
      <c r="N330" s="12"/>
      <c r="O330" s="12"/>
      <c r="P330" s="415"/>
      <c r="Q330" s="12"/>
      <c r="R330" s="12"/>
      <c r="S330" s="12"/>
      <c r="T330" s="12"/>
      <c r="U330" s="12"/>
      <c r="V330" s="12"/>
      <c r="W330" s="12"/>
      <c r="X330" s="12"/>
      <c r="Y330" s="129"/>
      <c r="Z330" s="129"/>
      <c r="AA330" s="129"/>
      <c r="AJ330" s="475">
        <f>I330*20%</f>
        <v>0</v>
      </c>
      <c r="AK330" s="475">
        <f>I330*80%</f>
        <v>0</v>
      </c>
      <c r="AO330" s="129"/>
      <c r="AP330" s="129"/>
      <c r="AQ330" s="129"/>
      <c r="AR330" s="129"/>
      <c r="AS330" s="129"/>
    </row>
    <row r="331" hidden="1">
      <c r="A331" s="16"/>
      <c r="B331" s="419"/>
      <c r="C331" s="168"/>
      <c r="D331" s="168"/>
      <c r="E331" s="466"/>
      <c r="F331" s="462">
        <v>0.0</v>
      </c>
      <c r="G331" s="420"/>
      <c r="H331" s="421"/>
      <c r="I331" s="468"/>
      <c r="J331" s="338"/>
      <c r="K331" s="11"/>
      <c r="L331" s="16"/>
      <c r="M331" s="12"/>
      <c r="N331" s="12"/>
      <c r="O331" s="12"/>
      <c r="P331" s="415"/>
      <c r="Q331" s="12"/>
      <c r="R331" s="12"/>
      <c r="S331" s="12"/>
      <c r="T331" s="12"/>
      <c r="U331" s="12"/>
      <c r="V331" s="12"/>
      <c r="W331" s="12"/>
      <c r="X331" s="12"/>
      <c r="Y331" s="129"/>
      <c r="Z331" s="129"/>
      <c r="AA331" s="129"/>
      <c r="AJ331" s="386"/>
      <c r="AK331" s="386">
        <f>H330*2</f>
        <v>1</v>
      </c>
      <c r="AO331" s="129"/>
      <c r="AP331" s="129"/>
      <c r="AQ331" s="129"/>
      <c r="AR331" s="129"/>
      <c r="AS331" s="129"/>
    </row>
    <row r="332">
      <c r="A332" s="16"/>
      <c r="B332" s="482" t="s">
        <v>467</v>
      </c>
      <c r="C332" s="170"/>
      <c r="D332" s="168" t="s">
        <v>587</v>
      </c>
      <c r="E332" s="466" t="s">
        <v>668</v>
      </c>
      <c r="F332" s="462">
        <v>1.0</v>
      </c>
      <c r="G332" s="420">
        <f>F332*10</f>
        <v>10</v>
      </c>
      <c r="H332" s="421">
        <v>0.7</v>
      </c>
      <c r="I332" s="385">
        <f>G332*H332</f>
        <v>7</v>
      </c>
      <c r="J332" s="338" t="s">
        <v>55</v>
      </c>
      <c r="K332" s="37"/>
      <c r="L332" s="16"/>
      <c r="M332" s="12"/>
      <c r="N332" s="12"/>
      <c r="O332" s="12"/>
      <c r="P332" s="415"/>
      <c r="Q332" s="12"/>
      <c r="R332" s="12"/>
      <c r="S332" s="12"/>
      <c r="T332" s="12"/>
      <c r="U332" s="12"/>
      <c r="V332" s="12"/>
      <c r="W332" s="12"/>
      <c r="X332" s="12"/>
      <c r="Y332" s="129"/>
      <c r="Z332" s="129"/>
      <c r="AA332" s="129"/>
      <c r="AB332" s="129"/>
      <c r="AC332" s="129"/>
      <c r="AD332" s="129"/>
      <c r="AG332" s="483"/>
      <c r="AH332" s="483"/>
      <c r="AI332" s="484"/>
      <c r="AJ332" s="341"/>
      <c r="AK332" s="337"/>
      <c r="AO332" s="129"/>
      <c r="AP332" s="129"/>
      <c r="AQ332" s="129"/>
      <c r="AR332" s="129"/>
      <c r="AS332" s="129"/>
    </row>
    <row r="333">
      <c r="A333" s="16"/>
      <c r="B333" s="419"/>
      <c r="C333" s="170"/>
      <c r="D333" s="168"/>
      <c r="E333" s="466"/>
      <c r="F333" s="462">
        <v>1.0</v>
      </c>
      <c r="G333" s="420"/>
      <c r="H333" s="421"/>
      <c r="I333" s="385"/>
      <c r="J333" s="338"/>
      <c r="K333" s="37"/>
      <c r="L333" s="16"/>
      <c r="M333" s="12"/>
      <c r="N333" s="12"/>
      <c r="O333" s="12"/>
      <c r="P333" s="415"/>
      <c r="Q333" s="12"/>
      <c r="R333" s="12"/>
      <c r="S333" s="12"/>
      <c r="T333" s="12"/>
      <c r="U333" s="12"/>
      <c r="V333" s="12"/>
      <c r="W333" s="12"/>
      <c r="X333" s="12"/>
      <c r="Y333" s="129"/>
      <c r="Z333" s="129"/>
      <c r="AA333" s="129"/>
      <c r="AB333" s="129"/>
      <c r="AC333" s="129"/>
      <c r="AD333" s="129"/>
      <c r="AG333" s="483"/>
      <c r="AH333" s="483"/>
      <c r="AI333" s="484"/>
      <c r="AJ333" s="341"/>
      <c r="AK333" s="337"/>
      <c r="AO333" s="129"/>
      <c r="AP333" s="129"/>
      <c r="AQ333" s="129"/>
      <c r="AR333" s="129"/>
      <c r="AS333" s="129"/>
    </row>
    <row r="334" hidden="1">
      <c r="A334" s="16"/>
      <c r="B334" s="419" t="s">
        <v>467</v>
      </c>
      <c r="C334" s="170">
        <v>2.0</v>
      </c>
      <c r="D334" s="168" t="s">
        <v>628</v>
      </c>
      <c r="E334" s="466" t="s">
        <v>669</v>
      </c>
      <c r="F334" s="462">
        <v>0.0</v>
      </c>
      <c r="G334" s="420">
        <f>F334*35</f>
        <v>0</v>
      </c>
      <c r="H334" s="421">
        <v>0.5</v>
      </c>
      <c r="I334" s="385">
        <f>G334*H334</f>
        <v>0</v>
      </c>
      <c r="J334" s="338" t="s">
        <v>55</v>
      </c>
      <c r="K334" s="37"/>
      <c r="L334" s="16"/>
      <c r="M334" s="12"/>
      <c r="N334" s="12"/>
      <c r="O334" s="12"/>
      <c r="P334" s="415"/>
      <c r="Q334" s="12"/>
      <c r="R334" s="12"/>
      <c r="S334" s="12"/>
      <c r="T334" s="12"/>
      <c r="U334" s="12"/>
      <c r="V334" s="12"/>
      <c r="W334" s="12"/>
      <c r="X334" s="12"/>
      <c r="Y334" s="129"/>
      <c r="Z334" s="129"/>
      <c r="AA334" s="129"/>
      <c r="AB334" s="129"/>
      <c r="AC334" s="129"/>
      <c r="AD334" s="129"/>
      <c r="AG334" s="279">
        <f>I334*30%</f>
        <v>0</v>
      </c>
      <c r="AH334" s="279">
        <f>I334*20%</f>
        <v>0</v>
      </c>
      <c r="AI334" s="336">
        <f>I334*20%</f>
        <v>0</v>
      </c>
      <c r="AJ334" s="279">
        <f>I334*10%</f>
        <v>0</v>
      </c>
      <c r="AK334" s="336">
        <f>I334*20%</f>
        <v>0</v>
      </c>
      <c r="AO334" s="129"/>
      <c r="AP334" s="129"/>
      <c r="AQ334" s="129"/>
      <c r="AR334" s="129"/>
      <c r="AS334" s="129"/>
    </row>
    <row r="335" hidden="1">
      <c r="A335" s="16"/>
      <c r="B335" s="419"/>
      <c r="C335" s="168"/>
      <c r="D335" s="168"/>
      <c r="E335" s="466"/>
      <c r="F335" s="473">
        <v>0.0</v>
      </c>
      <c r="G335" s="420"/>
      <c r="H335" s="421"/>
      <c r="I335" s="468"/>
      <c r="J335" s="479"/>
      <c r="K335" s="37"/>
      <c r="L335" s="16"/>
      <c r="M335" s="12"/>
      <c r="N335" s="12"/>
      <c r="O335" s="12"/>
      <c r="P335" s="415"/>
      <c r="Q335" s="12"/>
      <c r="R335" s="12"/>
      <c r="S335" s="12"/>
      <c r="T335" s="12"/>
      <c r="U335" s="12"/>
      <c r="V335" s="12"/>
      <c r="W335" s="12"/>
      <c r="X335" s="12"/>
      <c r="Y335" s="129"/>
      <c r="Z335" s="129"/>
      <c r="AA335" s="129"/>
      <c r="AB335" s="129"/>
      <c r="AC335" s="129"/>
      <c r="AD335" s="129"/>
      <c r="AG335" s="477"/>
      <c r="AH335" s="477"/>
      <c r="AI335" s="477">
        <f>12.7*H334*F334</f>
        <v>0</v>
      </c>
      <c r="AJ335" s="477">
        <f>3.6*H334*F334</f>
        <v>0</v>
      </c>
      <c r="AK335" s="387"/>
      <c r="AO335" s="129"/>
      <c r="AP335" s="129"/>
      <c r="AQ335" s="129"/>
      <c r="AR335" s="129"/>
      <c r="AS335" s="129"/>
    </row>
    <row r="336" hidden="1">
      <c r="A336" s="16"/>
      <c r="B336" s="482" t="s">
        <v>467</v>
      </c>
      <c r="C336" s="170">
        <v>19.0</v>
      </c>
      <c r="D336" s="209" t="s">
        <v>628</v>
      </c>
      <c r="E336" s="209" t="s">
        <v>670</v>
      </c>
      <c r="F336" s="462">
        <v>0.0</v>
      </c>
      <c r="G336" s="420">
        <f>F336*3</f>
        <v>0</v>
      </c>
      <c r="H336" s="421">
        <v>0.5</v>
      </c>
      <c r="I336" s="385">
        <f>G336*H336</f>
        <v>0</v>
      </c>
      <c r="J336" s="338" t="s">
        <v>55</v>
      </c>
      <c r="K336" s="11" t="s">
        <v>75</v>
      </c>
      <c r="L336" s="16"/>
      <c r="M336" s="12"/>
      <c r="N336" s="12"/>
      <c r="O336" s="12"/>
      <c r="P336" s="415"/>
      <c r="Q336" s="12"/>
      <c r="R336" s="12"/>
      <c r="S336" s="12"/>
      <c r="T336" s="12"/>
      <c r="U336" s="12"/>
      <c r="V336" s="12"/>
      <c r="W336" s="12"/>
      <c r="X336" s="12"/>
      <c r="Y336" s="129"/>
      <c r="Z336" s="129"/>
      <c r="AA336" s="129"/>
      <c r="AE336" s="129"/>
      <c r="AF336" s="129"/>
      <c r="AH336" s="475">
        <f>I336*20%</f>
        <v>0</v>
      </c>
      <c r="AI336" s="475">
        <f>I336*80%</f>
        <v>0</v>
      </c>
      <c r="AJ336" s="129"/>
      <c r="AK336" s="129"/>
      <c r="AL336" s="129"/>
      <c r="AM336" s="129"/>
      <c r="AN336" s="129"/>
      <c r="AO336" s="129"/>
      <c r="AP336" s="129"/>
      <c r="AQ336" s="129"/>
      <c r="AR336" s="129"/>
      <c r="AS336" s="129"/>
    </row>
    <row r="337" hidden="1">
      <c r="A337" s="16"/>
      <c r="B337" s="419"/>
      <c r="C337" s="209"/>
      <c r="D337" s="209"/>
      <c r="E337" s="470"/>
      <c r="F337" s="178">
        <v>0.0</v>
      </c>
      <c r="G337" s="420"/>
      <c r="H337" s="421"/>
      <c r="I337" s="385"/>
      <c r="J337" s="384"/>
      <c r="K337" s="11"/>
      <c r="L337" s="16"/>
      <c r="M337" s="12"/>
      <c r="N337" s="12"/>
      <c r="O337" s="12"/>
      <c r="P337" s="415"/>
      <c r="Q337" s="12"/>
      <c r="R337" s="12"/>
      <c r="S337" s="12"/>
      <c r="T337" s="12"/>
      <c r="U337" s="12"/>
      <c r="V337" s="12"/>
      <c r="W337" s="12"/>
      <c r="X337" s="12"/>
      <c r="Y337" s="129"/>
      <c r="Z337" s="129"/>
      <c r="AA337" s="129"/>
      <c r="AE337" s="129"/>
      <c r="AF337" s="129"/>
      <c r="AH337" s="386"/>
      <c r="AI337" s="386">
        <f>H336*2</f>
        <v>1</v>
      </c>
      <c r="AJ337" s="129"/>
      <c r="AK337" s="129"/>
      <c r="AL337" s="129"/>
      <c r="AM337" s="129"/>
      <c r="AN337" s="129"/>
      <c r="AO337" s="129"/>
      <c r="AP337" s="129"/>
      <c r="AQ337" s="129"/>
      <c r="AR337" s="129"/>
      <c r="AS337" s="129"/>
    </row>
    <row r="338" hidden="1">
      <c r="A338" s="16"/>
      <c r="B338" s="419" t="s">
        <v>467</v>
      </c>
      <c r="C338" s="170">
        <v>3.0</v>
      </c>
      <c r="D338" s="168" t="s">
        <v>628</v>
      </c>
      <c r="E338" s="466" t="s">
        <v>671</v>
      </c>
      <c r="F338" s="462">
        <v>0.0</v>
      </c>
      <c r="G338" s="420">
        <f>F338*45</f>
        <v>0</v>
      </c>
      <c r="H338" s="421">
        <v>0.5</v>
      </c>
      <c r="I338" s="385">
        <f>G338*H338</f>
        <v>0</v>
      </c>
      <c r="J338" s="338" t="s">
        <v>55</v>
      </c>
      <c r="K338" s="37"/>
      <c r="L338" s="16"/>
      <c r="M338" s="12"/>
      <c r="N338" s="12"/>
      <c r="O338" s="12"/>
      <c r="P338" s="415"/>
      <c r="Q338" s="12"/>
      <c r="R338" s="12"/>
      <c r="S338" s="12"/>
      <c r="T338" s="12"/>
      <c r="U338" s="12"/>
      <c r="V338" s="12"/>
      <c r="W338" s="12"/>
      <c r="X338" s="12"/>
      <c r="Y338" s="129"/>
      <c r="Z338" s="129"/>
      <c r="AA338" s="129"/>
      <c r="AB338" s="129"/>
      <c r="AC338" s="129"/>
      <c r="AD338" s="129"/>
      <c r="AG338" s="279">
        <f>I338*30%</f>
        <v>0</v>
      </c>
      <c r="AH338" s="279">
        <f>I338*20%</f>
        <v>0</v>
      </c>
      <c r="AK338" s="129"/>
      <c r="AL338" s="129"/>
      <c r="AM338" s="336">
        <f>I338*20%</f>
        <v>0</v>
      </c>
      <c r="AN338" s="279">
        <f>I338*10%</f>
        <v>0</v>
      </c>
      <c r="AO338" s="336">
        <f>I338*20%</f>
        <v>0</v>
      </c>
      <c r="AP338" s="129"/>
      <c r="AQ338" s="129"/>
      <c r="AR338" s="129"/>
      <c r="AS338" s="129"/>
    </row>
    <row r="339" hidden="1">
      <c r="A339" s="16"/>
      <c r="B339" s="419"/>
      <c r="C339" s="168"/>
      <c r="D339" s="168"/>
      <c r="E339" s="466"/>
      <c r="F339" s="473">
        <v>0.0</v>
      </c>
      <c r="G339" s="420"/>
      <c r="H339" s="421"/>
      <c r="I339" s="468"/>
      <c r="J339" s="479"/>
      <c r="K339" s="37"/>
      <c r="L339" s="16"/>
      <c r="M339" s="12"/>
      <c r="N339" s="12"/>
      <c r="O339" s="12"/>
      <c r="P339" s="415"/>
      <c r="Q339" s="12"/>
      <c r="R339" s="12"/>
      <c r="S339" s="12"/>
      <c r="T339" s="12"/>
      <c r="U339" s="12"/>
      <c r="V339" s="12"/>
      <c r="W339" s="12"/>
      <c r="X339" s="12"/>
      <c r="Y339" s="129"/>
      <c r="Z339" s="129"/>
      <c r="AA339" s="129"/>
      <c r="AB339" s="129"/>
      <c r="AC339" s="129"/>
      <c r="AD339" s="129"/>
      <c r="AG339" s="477"/>
      <c r="AH339" s="477"/>
      <c r="AK339" s="129"/>
      <c r="AL339" s="129"/>
      <c r="AM339" s="477">
        <f>12.7*H338*F338</f>
        <v>0</v>
      </c>
      <c r="AN339" s="477">
        <f>3.6*H338*F338</f>
        <v>0</v>
      </c>
      <c r="AO339" s="387"/>
      <c r="AP339" s="129"/>
      <c r="AQ339" s="129"/>
      <c r="AR339" s="129"/>
      <c r="AS339" s="129"/>
    </row>
    <row r="340" hidden="1">
      <c r="A340" s="16"/>
      <c r="B340" s="419" t="s">
        <v>467</v>
      </c>
      <c r="C340" s="170"/>
      <c r="D340" s="168" t="s">
        <v>594</v>
      </c>
      <c r="E340" s="466" t="s">
        <v>672</v>
      </c>
      <c r="F340" s="462">
        <v>0.0</v>
      </c>
      <c r="G340" s="420">
        <f>F340*120</f>
        <v>0</v>
      </c>
      <c r="H340" s="421">
        <v>0.3</v>
      </c>
      <c r="I340" s="385">
        <f>G340*H340</f>
        <v>0</v>
      </c>
      <c r="J340" s="338" t="s">
        <v>80</v>
      </c>
      <c r="K340" s="11" t="s">
        <v>642</v>
      </c>
      <c r="L340" s="16"/>
      <c r="M340" s="12"/>
      <c r="N340" s="12"/>
      <c r="O340" s="12"/>
      <c r="P340" s="415"/>
      <c r="Q340" s="12"/>
      <c r="R340" s="12"/>
      <c r="S340" s="12"/>
      <c r="T340" s="12"/>
      <c r="U340" s="12"/>
      <c r="V340" s="12"/>
      <c r="W340" s="12"/>
      <c r="X340" s="12"/>
      <c r="Y340" s="129"/>
      <c r="Z340" s="129"/>
      <c r="AA340" s="129"/>
      <c r="AB340" s="129"/>
      <c r="AC340" s="129"/>
      <c r="AH340" s="279">
        <f>I340*30%</f>
        <v>0</v>
      </c>
      <c r="AI340" s="279">
        <f>I340*20%</f>
        <v>0</v>
      </c>
      <c r="AJ340" s="336">
        <f>I340*20%</f>
        <v>0</v>
      </c>
      <c r="AK340" s="279">
        <f>I340*10%</f>
        <v>0</v>
      </c>
      <c r="AL340" s="336">
        <f>I340*20%</f>
        <v>0</v>
      </c>
      <c r="AM340" s="129"/>
      <c r="AN340" s="129"/>
      <c r="AO340" s="129"/>
      <c r="AP340" s="129"/>
      <c r="AQ340" s="129"/>
      <c r="AR340" s="129"/>
      <c r="AS340" s="129"/>
    </row>
    <row r="341" hidden="1">
      <c r="A341" s="16"/>
      <c r="B341" s="419"/>
      <c r="C341" s="168"/>
      <c r="D341" s="168"/>
      <c r="E341" s="466"/>
      <c r="F341" s="473">
        <v>0.0</v>
      </c>
      <c r="G341" s="420"/>
      <c r="H341" s="421"/>
      <c r="I341" s="468"/>
      <c r="J341" s="479"/>
      <c r="K341" s="37"/>
      <c r="L341" s="16"/>
      <c r="M341" s="12"/>
      <c r="N341" s="12"/>
      <c r="O341" s="415"/>
      <c r="P341" s="415"/>
      <c r="Q341" s="197"/>
      <c r="R341" s="415"/>
      <c r="S341" s="415"/>
      <c r="T341" s="12"/>
      <c r="U341" s="12"/>
      <c r="V341" s="12"/>
      <c r="W341" s="12"/>
      <c r="X341" s="12"/>
      <c r="Y341" s="129"/>
      <c r="Z341" s="129"/>
      <c r="AA341" s="129"/>
      <c r="AB341" s="129"/>
      <c r="AC341" s="129"/>
      <c r="AH341" s="477"/>
      <c r="AI341" s="477"/>
      <c r="AJ341" s="477">
        <f>12.7*H340*F340</f>
        <v>0</v>
      </c>
      <c r="AK341" s="477">
        <f>3.6*H340*F340</f>
        <v>0</v>
      </c>
      <c r="AL341" s="387"/>
      <c r="AM341" s="12"/>
      <c r="AN341" s="12"/>
      <c r="AO341" s="12"/>
      <c r="AP341" s="12"/>
      <c r="AQ341" s="12"/>
      <c r="AR341" s="12"/>
      <c r="AS341" s="12"/>
    </row>
    <row r="342" hidden="1">
      <c r="A342" s="16"/>
      <c r="B342" s="480">
        <v>46174.0</v>
      </c>
      <c r="C342" s="168"/>
      <c r="D342" s="168" t="s">
        <v>673</v>
      </c>
      <c r="E342" s="466" t="s">
        <v>674</v>
      </c>
      <c r="F342" s="462">
        <v>0.0</v>
      </c>
      <c r="G342" s="420">
        <f>300*F342</f>
        <v>0</v>
      </c>
      <c r="H342" s="421">
        <v>0.15</v>
      </c>
      <c r="I342" s="468">
        <f>G342*H342</f>
        <v>0</v>
      </c>
      <c r="J342" s="338" t="s">
        <v>80</v>
      </c>
      <c r="K342" s="37"/>
      <c r="L342" s="16"/>
      <c r="M342" s="12"/>
      <c r="N342" s="12"/>
      <c r="O342" s="12"/>
      <c r="P342" s="415"/>
      <c r="Q342" s="12"/>
      <c r="R342" s="12"/>
      <c r="S342" s="12"/>
      <c r="T342" s="12"/>
      <c r="U342" s="12"/>
      <c r="V342" s="12"/>
      <c r="W342" s="12"/>
      <c r="X342" s="12"/>
      <c r="Y342" s="129"/>
      <c r="Z342" s="129"/>
      <c r="AA342" s="129"/>
      <c r="AB342" s="129"/>
      <c r="AC342" s="129"/>
      <c r="AH342" s="279">
        <f>I342*30%*F342</f>
        <v>0</v>
      </c>
      <c r="AI342" s="279">
        <f>I342*20%*F342</f>
        <v>0</v>
      </c>
      <c r="AJ342" s="336">
        <f>I342*20%*F342</f>
        <v>0</v>
      </c>
      <c r="AK342" s="279">
        <f>I342*10%</f>
        <v>0</v>
      </c>
      <c r="AL342" s="336">
        <f>I342*20%</f>
        <v>0</v>
      </c>
      <c r="AM342" s="485"/>
      <c r="AN342" s="485"/>
      <c r="AO342" s="129"/>
      <c r="AP342" s="129"/>
      <c r="AQ342" s="129"/>
      <c r="AR342" s="129"/>
      <c r="AS342" s="129"/>
    </row>
    <row r="343" hidden="1">
      <c r="A343" s="16"/>
      <c r="B343" s="486"/>
      <c r="C343" s="487"/>
      <c r="D343" s="487"/>
      <c r="E343" s="488"/>
      <c r="F343" s="318">
        <v>0.0</v>
      </c>
      <c r="G343" s="489"/>
      <c r="H343" s="490"/>
      <c r="I343" s="491"/>
      <c r="J343" s="492"/>
      <c r="K343" s="11"/>
      <c r="L343" s="16"/>
      <c r="M343" s="12"/>
      <c r="N343" s="12"/>
      <c r="O343" s="12"/>
      <c r="P343" s="415"/>
      <c r="Q343" s="12"/>
      <c r="R343" s="12"/>
      <c r="S343" s="12"/>
      <c r="T343" s="12"/>
      <c r="U343" s="12"/>
      <c r="V343" s="12"/>
      <c r="W343" s="12"/>
      <c r="X343" s="12"/>
      <c r="Y343" s="129"/>
      <c r="Z343" s="129"/>
      <c r="AA343" s="129"/>
      <c r="AB343" s="129"/>
      <c r="AC343" s="129"/>
      <c r="AH343" s="477"/>
      <c r="AI343" s="477"/>
      <c r="AJ343" s="477">
        <f>12.7*H342*F342</f>
        <v>0</v>
      </c>
      <c r="AK343" s="477">
        <f>3.6*H342*F342</f>
        <v>0</v>
      </c>
      <c r="AL343" s="387"/>
      <c r="AM343" s="485"/>
      <c r="AN343" s="485"/>
      <c r="AO343" s="129"/>
      <c r="AP343" s="129"/>
      <c r="AQ343" s="129"/>
      <c r="AR343" s="129"/>
      <c r="AS343" s="129"/>
    </row>
    <row r="344">
      <c r="A344" s="47"/>
      <c r="B344" s="493" t="s">
        <v>50</v>
      </c>
      <c r="C344" s="494"/>
      <c r="D344" s="494"/>
      <c r="E344" s="494"/>
      <c r="F344" s="495"/>
      <c r="G344" s="496">
        <f>SUM(G304:G341)</f>
        <v>10</v>
      </c>
      <c r="H344" s="497"/>
      <c r="I344" s="496">
        <f>SUM(I304:I341)</f>
        <v>7</v>
      </c>
      <c r="J344" s="498"/>
      <c r="K344" s="11"/>
      <c r="L344" s="47"/>
      <c r="M344" s="47"/>
      <c r="N344" s="47"/>
      <c r="O344" s="55"/>
      <c r="P344" s="55"/>
      <c r="Q344" s="55"/>
      <c r="R344" s="55"/>
      <c r="S344" s="55"/>
      <c r="T344" s="55"/>
      <c r="U344" s="55"/>
      <c r="V344" s="55"/>
      <c r="X344" s="55"/>
      <c r="AN344" s="12"/>
      <c r="AP344" s="55"/>
      <c r="AQ344" s="55"/>
      <c r="AR344" s="55"/>
      <c r="AS344" s="129"/>
    </row>
    <row r="345">
      <c r="A345" s="47"/>
      <c r="B345" s="499" t="s">
        <v>41</v>
      </c>
      <c r="C345" s="500"/>
      <c r="D345" s="500"/>
      <c r="E345" s="500"/>
      <c r="F345" s="501"/>
      <c r="G345" s="502"/>
      <c r="H345" s="503"/>
      <c r="I345" s="502"/>
      <c r="J345" s="504"/>
      <c r="K345" s="11"/>
      <c r="L345" s="47"/>
      <c r="M345" s="47"/>
      <c r="N345" s="47"/>
      <c r="O345" s="55"/>
      <c r="P345" s="55"/>
      <c r="Q345" s="55"/>
      <c r="R345" s="55"/>
      <c r="S345" s="55"/>
      <c r="T345" s="55"/>
      <c r="U345" s="55"/>
      <c r="V345" s="55"/>
      <c r="X345" s="55"/>
      <c r="AA345" s="505">
        <f t="shared" ref="AA345:AC345" si="20">AA296+AA300+AA338+AA372+AA353+AA330+AA334+AA374+AA336+AA340</f>
        <v>0</v>
      </c>
      <c r="AB345" s="505">
        <f t="shared" si="20"/>
        <v>0</v>
      </c>
      <c r="AC345" s="505">
        <f t="shared" si="20"/>
        <v>0</v>
      </c>
      <c r="AD345" s="505">
        <f t="shared" ref="AD345:AR345" si="21">AD353+AD334+AD338</f>
        <v>0</v>
      </c>
      <c r="AE345" s="505">
        <f t="shared" si="21"/>
        <v>0</v>
      </c>
      <c r="AF345" s="505">
        <f t="shared" si="21"/>
        <v>0</v>
      </c>
      <c r="AG345" s="506">
        <f t="shared" si="21"/>
        <v>0</v>
      </c>
      <c r="AH345" s="506">
        <f t="shared" si="21"/>
        <v>0</v>
      </c>
      <c r="AI345" s="506">
        <f t="shared" si="21"/>
        <v>0</v>
      </c>
      <c r="AJ345" s="506">
        <f t="shared" si="21"/>
        <v>8.64</v>
      </c>
      <c r="AK345" s="506">
        <f t="shared" si="21"/>
        <v>5.76</v>
      </c>
      <c r="AL345" s="506">
        <f t="shared" si="21"/>
        <v>5.76</v>
      </c>
      <c r="AM345" s="506">
        <f t="shared" si="21"/>
        <v>2.88</v>
      </c>
      <c r="AN345" s="506">
        <f t="shared" si="21"/>
        <v>5.76</v>
      </c>
      <c r="AO345" s="506">
        <f t="shared" si="21"/>
        <v>0</v>
      </c>
      <c r="AP345" s="505">
        <f t="shared" si="21"/>
        <v>0</v>
      </c>
      <c r="AQ345" s="505">
        <f t="shared" si="21"/>
        <v>0</v>
      </c>
      <c r="AR345" s="505">
        <f t="shared" si="21"/>
        <v>0</v>
      </c>
      <c r="AS345" s="129"/>
    </row>
    <row r="346">
      <c r="A346" s="47"/>
      <c r="B346" s="507"/>
      <c r="C346" s="500"/>
      <c r="D346" s="500"/>
      <c r="E346" s="500"/>
      <c r="F346" s="501"/>
      <c r="G346" s="502"/>
      <c r="H346" s="503"/>
      <c r="I346" s="502"/>
      <c r="J346" s="504"/>
      <c r="K346" s="11"/>
      <c r="L346" s="47"/>
      <c r="M346" s="47"/>
      <c r="N346" s="47"/>
      <c r="O346" s="55"/>
      <c r="P346" s="55"/>
      <c r="Q346" s="55"/>
      <c r="R346" s="55"/>
      <c r="S346" s="55"/>
      <c r="T346" s="55"/>
      <c r="U346" s="55"/>
      <c r="V346" s="55"/>
      <c r="X346" s="55"/>
      <c r="AA346" s="505">
        <f t="shared" ref="AA346:AC346" si="22">AA297+AA301+AA339+AA373+AA354+AA331+AA335+AA375+AA337+AA341</f>
        <v>0</v>
      </c>
      <c r="AB346" s="505">
        <f t="shared" si="22"/>
        <v>0</v>
      </c>
      <c r="AC346" s="505">
        <f t="shared" si="22"/>
        <v>0</v>
      </c>
      <c r="AD346" s="505">
        <f t="shared" ref="AD346:AR346" si="23">AD354+AD335+AD339</f>
        <v>0</v>
      </c>
      <c r="AE346" s="505">
        <f t="shared" si="23"/>
        <v>0</v>
      </c>
      <c r="AF346" s="505">
        <f t="shared" si="23"/>
        <v>0</v>
      </c>
      <c r="AG346" s="505">
        <f t="shared" si="23"/>
        <v>0</v>
      </c>
      <c r="AH346" s="505">
        <f t="shared" si="23"/>
        <v>0</v>
      </c>
      <c r="AI346" s="505">
        <f t="shared" si="23"/>
        <v>0</v>
      </c>
      <c r="AJ346" s="505">
        <f t="shared" si="23"/>
        <v>0</v>
      </c>
      <c r="AK346" s="412">
        <f t="shared" si="23"/>
        <v>0</v>
      </c>
      <c r="AL346" s="505">
        <f t="shared" si="23"/>
        <v>11.43</v>
      </c>
      <c r="AM346" s="505">
        <f t="shared" si="23"/>
        <v>3.24</v>
      </c>
      <c r="AN346" s="412">
        <f t="shared" si="23"/>
        <v>0</v>
      </c>
      <c r="AO346" s="412">
        <f t="shared" si="23"/>
        <v>0</v>
      </c>
      <c r="AP346" s="505">
        <f t="shared" si="23"/>
        <v>0</v>
      </c>
      <c r="AQ346" s="505">
        <f t="shared" si="23"/>
        <v>0</v>
      </c>
      <c r="AR346" s="505">
        <f t="shared" si="23"/>
        <v>0</v>
      </c>
      <c r="AS346" s="129"/>
    </row>
    <row r="347">
      <c r="A347" s="47"/>
      <c r="B347" s="507"/>
      <c r="C347" s="500"/>
      <c r="D347" s="500"/>
      <c r="E347" s="500"/>
      <c r="F347" s="501"/>
      <c r="G347" s="502"/>
      <c r="H347" s="503"/>
      <c r="I347" s="502"/>
      <c r="J347" s="504"/>
      <c r="K347" s="11"/>
      <c r="L347" s="47"/>
      <c r="M347" s="47"/>
      <c r="N347" s="47"/>
      <c r="O347" s="55"/>
      <c r="P347" s="55"/>
      <c r="Q347" s="55"/>
      <c r="R347" s="55"/>
      <c r="S347" s="55"/>
      <c r="T347" s="55"/>
      <c r="U347" s="55"/>
      <c r="V347" s="55"/>
      <c r="X347" s="55"/>
      <c r="AA347" s="12"/>
      <c r="AB347" s="12"/>
      <c r="AC347" s="12"/>
      <c r="AD347" s="12"/>
      <c r="AE347" s="12"/>
      <c r="AF347" s="508">
        <f t="shared" ref="AF347:AF348" si="24">SUM(AA345:AF345)</f>
        <v>0</v>
      </c>
      <c r="AG347" s="12"/>
      <c r="AH347" s="12"/>
      <c r="AI347" s="12"/>
      <c r="AJ347" s="12"/>
      <c r="AK347" s="12"/>
      <c r="AL347" s="413">
        <f t="shared" ref="AL347:AL348" si="25">SUM(AA345:AL345)</f>
        <v>20.16</v>
      </c>
      <c r="AM347" s="12"/>
      <c r="AN347" s="12"/>
      <c r="AO347" s="509">
        <f>I345-AF347</f>
        <v>0</v>
      </c>
      <c r="AP347" s="55"/>
      <c r="AQ347" s="55"/>
      <c r="AR347" s="55"/>
      <c r="AS347" s="55"/>
    </row>
    <row r="348">
      <c r="A348" s="47"/>
      <c r="B348" s="510"/>
      <c r="C348" s="511"/>
      <c r="D348" s="511"/>
      <c r="E348" s="511"/>
      <c r="F348" s="512"/>
      <c r="G348" s="513"/>
      <c r="H348" s="514"/>
      <c r="I348" s="513"/>
      <c r="J348" s="515"/>
      <c r="K348" s="11"/>
      <c r="L348" s="47"/>
      <c r="M348" s="47"/>
      <c r="N348" s="47"/>
      <c r="O348" s="55"/>
      <c r="P348" s="55"/>
      <c r="Q348" s="55"/>
      <c r="R348" s="55"/>
      <c r="S348" s="55"/>
      <c r="T348" s="55"/>
      <c r="U348" s="55"/>
      <c r="V348" s="55"/>
      <c r="X348" s="55"/>
      <c r="AA348" s="12"/>
      <c r="AB348" s="12"/>
      <c r="AC348" s="12"/>
      <c r="AD348" s="12"/>
      <c r="AE348" s="12"/>
      <c r="AF348" s="508">
        <f t="shared" si="24"/>
        <v>0</v>
      </c>
      <c r="AG348" s="12"/>
      <c r="AH348" s="12"/>
      <c r="AI348" s="12"/>
      <c r="AJ348" s="12"/>
      <c r="AK348" s="12"/>
      <c r="AL348" s="413">
        <f t="shared" si="25"/>
        <v>11.43</v>
      </c>
      <c r="AM348" s="12"/>
      <c r="AN348" s="12"/>
      <c r="AO348" s="12"/>
      <c r="AP348" s="55"/>
      <c r="AQ348" s="431">
        <f>SUM(AG345:AR345)</f>
        <v>28.8</v>
      </c>
      <c r="AR348" s="423" t="s">
        <v>600</v>
      </c>
      <c r="AS348" s="55"/>
    </row>
    <row r="349">
      <c r="A349" s="16"/>
      <c r="B349" s="169" t="s">
        <v>37</v>
      </c>
      <c r="C349" s="170"/>
      <c r="D349" s="516" t="s">
        <v>343</v>
      </c>
      <c r="E349" s="517" t="s">
        <v>634</v>
      </c>
      <c r="F349" s="518">
        <f>AD1</f>
        <v>1</v>
      </c>
      <c r="G349" s="519">
        <f>F349*100</f>
        <v>100</v>
      </c>
      <c r="H349" s="520">
        <v>0.15</v>
      </c>
      <c r="I349" s="521">
        <f>G349*H349</f>
        <v>15</v>
      </c>
      <c r="J349" s="522" t="s">
        <v>80</v>
      </c>
      <c r="K349" s="11"/>
      <c r="L349" s="16"/>
      <c r="M349" s="12"/>
      <c r="N349" s="12"/>
      <c r="O349" s="12"/>
      <c r="P349" s="415"/>
      <c r="Q349" s="12"/>
      <c r="R349" s="12"/>
      <c r="S349" s="12"/>
      <c r="T349" s="12"/>
      <c r="U349" s="12"/>
      <c r="V349" s="12"/>
      <c r="W349" s="12"/>
      <c r="X349" s="12"/>
      <c r="Y349" s="129"/>
      <c r="Z349" s="129"/>
      <c r="AA349" s="129"/>
      <c r="AB349" s="129"/>
      <c r="AC349" s="129"/>
      <c r="AK349" s="129"/>
      <c r="AL349" s="129"/>
      <c r="AM349" s="129"/>
      <c r="AN349" s="129"/>
      <c r="AO349" s="129"/>
      <c r="AP349" s="129"/>
      <c r="AQ349" s="431">
        <f>SUM(AG345:AR345)</f>
        <v>28.8</v>
      </c>
      <c r="AR349" s="423" t="s">
        <v>600</v>
      </c>
      <c r="AS349" s="423"/>
    </row>
    <row r="350">
      <c r="A350" s="16"/>
      <c r="B350" s="419"/>
      <c r="C350" s="168"/>
      <c r="D350" s="168"/>
      <c r="E350" s="466"/>
      <c r="F350" s="463">
        <f>AD1</f>
        <v>1</v>
      </c>
      <c r="G350" s="420"/>
      <c r="H350" s="421"/>
      <c r="I350" s="468"/>
      <c r="J350" s="479"/>
      <c r="K350" s="37"/>
      <c r="L350" s="16"/>
      <c r="M350" s="12"/>
      <c r="N350" s="12"/>
      <c r="O350" s="415"/>
      <c r="P350" s="415"/>
      <c r="Q350" s="197"/>
      <c r="R350" s="415"/>
      <c r="S350" s="415"/>
      <c r="T350" s="12"/>
      <c r="U350" s="12"/>
      <c r="V350" s="12"/>
      <c r="W350" s="12"/>
      <c r="X350" s="12"/>
      <c r="Y350" s="129"/>
      <c r="Z350" s="129"/>
      <c r="AA350" s="129"/>
      <c r="AB350" s="129"/>
      <c r="AC350" s="129"/>
      <c r="AK350" s="12"/>
      <c r="AL350" s="12"/>
      <c r="AM350" s="12"/>
      <c r="AN350" s="12"/>
      <c r="AO350" s="12"/>
      <c r="AP350" s="12"/>
      <c r="AQ350" s="12"/>
      <c r="AR350" s="12"/>
      <c r="AS350" s="12"/>
    </row>
    <row r="351" hidden="1">
      <c r="A351" s="16"/>
      <c r="B351" s="419" t="s">
        <v>37</v>
      </c>
      <c r="C351" s="419"/>
      <c r="D351" s="419" t="s">
        <v>630</v>
      </c>
      <c r="E351" s="209" t="s">
        <v>675</v>
      </c>
      <c r="F351" s="462">
        <v>0.0</v>
      </c>
      <c r="G351" s="420">
        <f>F351*10</f>
        <v>0</v>
      </c>
      <c r="H351" s="421">
        <v>1.0</v>
      </c>
      <c r="I351" s="385">
        <f>G351*H351</f>
        <v>0</v>
      </c>
      <c r="J351" s="338" t="s">
        <v>55</v>
      </c>
      <c r="K351" s="37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AC351" s="445">
        <f>I351*20%</f>
        <v>0</v>
      </c>
      <c r="AF351" s="12"/>
      <c r="AG351" s="12"/>
      <c r="AH351" s="12"/>
      <c r="AI351" s="445">
        <f>I351*80%</f>
        <v>0</v>
      </c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</row>
    <row r="352" hidden="1">
      <c r="A352" s="16"/>
      <c r="B352" s="419"/>
      <c r="C352" s="209"/>
      <c r="D352" s="209"/>
      <c r="E352" s="209"/>
      <c r="F352" s="178">
        <v>0.0</v>
      </c>
      <c r="G352" s="420"/>
      <c r="H352" s="421"/>
      <c r="I352" s="385"/>
      <c r="J352" s="338"/>
      <c r="K352" s="37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AC352" s="100"/>
      <c r="AF352" s="12"/>
      <c r="AG352" s="12"/>
      <c r="AH352" s="12"/>
      <c r="AI352" s="100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</row>
    <row r="353">
      <c r="A353" s="16"/>
      <c r="B353" s="419" t="s">
        <v>37</v>
      </c>
      <c r="C353" s="170"/>
      <c r="D353" s="209" t="s">
        <v>630</v>
      </c>
      <c r="E353" s="209" t="s">
        <v>676</v>
      </c>
      <c r="F353" s="462">
        <v>1.0</v>
      </c>
      <c r="G353" s="420">
        <f>F353*32</f>
        <v>32</v>
      </c>
      <c r="H353" s="421">
        <v>0.9</v>
      </c>
      <c r="I353" s="385">
        <f>G353*H353</f>
        <v>28.8</v>
      </c>
      <c r="J353" s="338" t="s">
        <v>55</v>
      </c>
      <c r="K353" s="11"/>
      <c r="L353" s="16"/>
      <c r="M353" s="12"/>
      <c r="N353" s="12"/>
      <c r="O353" s="12"/>
      <c r="P353" s="415"/>
      <c r="Q353" s="12"/>
      <c r="R353" s="12"/>
      <c r="S353" s="12"/>
      <c r="T353" s="12"/>
      <c r="U353" s="12"/>
      <c r="V353" s="12"/>
      <c r="W353" s="12"/>
      <c r="X353" s="12"/>
      <c r="Y353" s="129"/>
      <c r="Z353" s="129"/>
      <c r="AA353" s="129"/>
      <c r="AE353" s="129"/>
      <c r="AJ353" s="279">
        <f>I353*30%</f>
        <v>8.64</v>
      </c>
      <c r="AK353" s="279">
        <f>I353*20%</f>
        <v>5.76</v>
      </c>
      <c r="AL353" s="336">
        <f>I353*20%</f>
        <v>5.76</v>
      </c>
      <c r="AM353" s="279">
        <f>I353*10%</f>
        <v>2.88</v>
      </c>
      <c r="AN353" s="336">
        <f>I353*20%</f>
        <v>5.76</v>
      </c>
      <c r="AO353" s="129"/>
      <c r="AP353" s="129"/>
      <c r="AQ353" s="129"/>
      <c r="AR353" s="129"/>
      <c r="AS353" s="129"/>
    </row>
    <row r="354">
      <c r="A354" s="16"/>
      <c r="B354" s="419"/>
      <c r="C354" s="170"/>
      <c r="D354" s="209"/>
      <c r="E354" s="209"/>
      <c r="F354" s="462">
        <v>1.0</v>
      </c>
      <c r="G354" s="420"/>
      <c r="H354" s="421"/>
      <c r="I354" s="385"/>
      <c r="J354" s="338"/>
      <c r="K354" s="11"/>
      <c r="L354" s="16"/>
      <c r="M354" s="12"/>
      <c r="N354" s="12"/>
      <c r="O354" s="12"/>
      <c r="P354" s="415"/>
      <c r="Q354" s="12"/>
      <c r="R354" s="12"/>
      <c r="S354" s="12"/>
      <c r="T354" s="12"/>
      <c r="U354" s="12"/>
      <c r="V354" s="12"/>
      <c r="W354" s="12"/>
      <c r="X354" s="12"/>
      <c r="Y354" s="129"/>
      <c r="Z354" s="129"/>
      <c r="AA354" s="129"/>
      <c r="AE354" s="129"/>
      <c r="AJ354" s="477"/>
      <c r="AK354" s="477"/>
      <c r="AL354" s="477">
        <f>12.7*H353*F353</f>
        <v>11.43</v>
      </c>
      <c r="AM354" s="477">
        <f>3.6*H353*F353</f>
        <v>3.24</v>
      </c>
      <c r="AN354" s="387"/>
      <c r="AO354" s="129"/>
      <c r="AP354" s="129"/>
      <c r="AQ354" s="129"/>
      <c r="AR354" s="129"/>
      <c r="AS354" s="129"/>
    </row>
    <row r="355">
      <c r="A355" s="16"/>
      <c r="B355" s="169" t="s">
        <v>37</v>
      </c>
      <c r="C355" s="516"/>
      <c r="D355" s="168" t="s">
        <v>157</v>
      </c>
      <c r="E355" s="466" t="s">
        <v>657</v>
      </c>
      <c r="F355" s="467">
        <f>AD1</f>
        <v>1</v>
      </c>
      <c r="G355" s="420">
        <f>F355*150</f>
        <v>150</v>
      </c>
      <c r="H355" s="421">
        <v>0.15</v>
      </c>
      <c r="I355" s="468">
        <f>G355*H355</f>
        <v>22.5</v>
      </c>
      <c r="J355" s="338" t="s">
        <v>15</v>
      </c>
      <c r="K355" s="11"/>
      <c r="L355" s="16"/>
      <c r="M355" s="12"/>
      <c r="N355" s="12"/>
      <c r="O355" s="12"/>
      <c r="P355" s="415"/>
      <c r="Q355" s="12"/>
      <c r="R355" s="12"/>
      <c r="S355" s="12"/>
      <c r="T355" s="12"/>
      <c r="U355" s="12"/>
      <c r="V355" s="12"/>
      <c r="W355" s="12"/>
      <c r="X355" s="12"/>
      <c r="Y355" s="129"/>
      <c r="Z355" s="129"/>
      <c r="AA355" s="129"/>
      <c r="AB355" s="129"/>
      <c r="AC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</row>
    <row r="356">
      <c r="A356" s="16"/>
      <c r="B356" s="419"/>
      <c r="C356" s="168"/>
      <c r="D356" s="168"/>
      <c r="E356" s="466"/>
      <c r="F356" s="467">
        <f>AD1</f>
        <v>1</v>
      </c>
      <c r="G356" s="420"/>
      <c r="H356" s="421"/>
      <c r="I356" s="468"/>
      <c r="J356" s="338"/>
      <c r="K356" s="11"/>
      <c r="L356" s="16"/>
      <c r="M356" s="12"/>
      <c r="N356" s="12"/>
      <c r="O356" s="12"/>
      <c r="P356" s="415"/>
      <c r="Q356" s="12"/>
      <c r="R356" s="12"/>
      <c r="S356" s="12"/>
      <c r="T356" s="12"/>
      <c r="U356" s="12"/>
      <c r="V356" s="12"/>
      <c r="W356" s="12"/>
      <c r="X356" s="12"/>
      <c r="Y356" s="129"/>
      <c r="Z356" s="129"/>
      <c r="AA356" s="129"/>
      <c r="AB356" s="129"/>
      <c r="AC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</row>
    <row r="357">
      <c r="A357" s="16"/>
      <c r="B357" s="419" t="s">
        <v>37</v>
      </c>
      <c r="C357" s="168"/>
      <c r="D357" s="168" t="s">
        <v>677</v>
      </c>
      <c r="E357" s="466" t="s">
        <v>678</v>
      </c>
      <c r="F357" s="467">
        <f>AD1</f>
        <v>1</v>
      </c>
      <c r="G357" s="420">
        <f>F357*15</f>
        <v>15</v>
      </c>
      <c r="H357" s="421">
        <v>0.05</v>
      </c>
      <c r="I357" s="468">
        <f>G357*H357</f>
        <v>0.75</v>
      </c>
      <c r="J357" s="338" t="s">
        <v>15</v>
      </c>
      <c r="K357" s="11"/>
      <c r="L357" s="16"/>
      <c r="M357" s="12"/>
      <c r="N357" s="12"/>
      <c r="O357" s="12"/>
      <c r="P357" s="415"/>
      <c r="Q357" s="12"/>
      <c r="R357" s="12"/>
      <c r="S357" s="12"/>
      <c r="T357" s="12"/>
      <c r="U357" s="12"/>
      <c r="V357" s="12"/>
      <c r="W357" s="12"/>
      <c r="X357" s="12"/>
      <c r="Y357" s="129"/>
      <c r="Z357" s="129"/>
      <c r="AA357" s="129"/>
      <c r="AB357" s="129"/>
      <c r="AC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</row>
    <row r="358">
      <c r="A358" s="16"/>
      <c r="B358" s="419"/>
      <c r="C358" s="168"/>
      <c r="D358" s="168"/>
      <c r="E358" s="466"/>
      <c r="F358" s="467">
        <f>AD1</f>
        <v>1</v>
      </c>
      <c r="G358" s="420"/>
      <c r="H358" s="421"/>
      <c r="I358" s="468"/>
      <c r="J358" s="338"/>
      <c r="K358" s="11"/>
      <c r="L358" s="16"/>
      <c r="M358" s="12"/>
      <c r="N358" s="12"/>
      <c r="O358" s="12"/>
      <c r="P358" s="415"/>
      <c r="Q358" s="12"/>
      <c r="R358" s="12"/>
      <c r="S358" s="12"/>
      <c r="T358" s="12"/>
      <c r="U358" s="12"/>
      <c r="V358" s="12"/>
      <c r="W358" s="12"/>
      <c r="X358" s="12"/>
      <c r="Y358" s="129"/>
      <c r="Z358" s="129"/>
      <c r="AA358" s="129"/>
      <c r="AB358" s="129"/>
      <c r="AC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</row>
    <row r="359">
      <c r="A359" s="16"/>
      <c r="B359" s="419" t="s">
        <v>42</v>
      </c>
      <c r="C359" s="170"/>
      <c r="D359" s="168" t="s">
        <v>679</v>
      </c>
      <c r="E359" s="466" t="s">
        <v>680</v>
      </c>
      <c r="F359" s="467">
        <f>AD1</f>
        <v>1</v>
      </c>
      <c r="G359" s="420">
        <f>15*F359</f>
        <v>15</v>
      </c>
      <c r="H359" s="421">
        <v>0.5</v>
      </c>
      <c r="I359" s="385">
        <f>G359*H359</f>
        <v>7.5</v>
      </c>
      <c r="J359" s="338" t="s">
        <v>310</v>
      </c>
      <c r="K359" s="11"/>
      <c r="L359" s="16"/>
      <c r="M359" s="12"/>
      <c r="N359" s="12"/>
      <c r="O359" s="12"/>
      <c r="P359" s="415"/>
      <c r="Q359" s="12"/>
      <c r="R359" s="12"/>
      <c r="S359" s="12"/>
      <c r="T359" s="12"/>
      <c r="U359" s="12"/>
      <c r="V359" s="12"/>
      <c r="W359" s="12"/>
      <c r="X359" s="12"/>
      <c r="Y359" s="129"/>
      <c r="Z359" s="129"/>
      <c r="AA359" s="129"/>
      <c r="AB359" s="129"/>
      <c r="AC359" s="129"/>
      <c r="AH359" s="341"/>
      <c r="AI359" s="341"/>
      <c r="AJ359" s="484"/>
      <c r="AK359" s="483"/>
      <c r="AL359" s="484"/>
      <c r="AM359" s="129"/>
      <c r="AN359" s="129"/>
      <c r="AO359" s="129"/>
      <c r="AP359" s="129"/>
      <c r="AQ359" s="129"/>
      <c r="AR359" s="129"/>
      <c r="AS359" s="129"/>
    </row>
    <row r="360">
      <c r="A360" s="16"/>
      <c r="B360" s="419"/>
      <c r="C360" s="170"/>
      <c r="D360" s="168"/>
      <c r="E360" s="466"/>
      <c r="F360" s="467">
        <f>AD1</f>
        <v>1</v>
      </c>
      <c r="G360" s="420"/>
      <c r="H360" s="421"/>
      <c r="I360" s="468"/>
      <c r="J360" s="338"/>
      <c r="K360" s="11"/>
      <c r="L360" s="16"/>
      <c r="M360" s="12"/>
      <c r="N360" s="12"/>
      <c r="O360" s="12"/>
      <c r="P360" s="415"/>
      <c r="Q360" s="12"/>
      <c r="R360" s="12"/>
      <c r="S360" s="12"/>
      <c r="T360" s="12"/>
      <c r="U360" s="12"/>
      <c r="V360" s="12"/>
      <c r="W360" s="12"/>
      <c r="X360" s="12"/>
      <c r="Y360" s="129"/>
      <c r="Z360" s="129"/>
      <c r="AA360" s="129"/>
      <c r="AB360" s="129"/>
      <c r="AC360" s="129"/>
      <c r="AH360" s="341"/>
      <c r="AI360" s="341"/>
      <c r="AJ360" s="484"/>
      <c r="AK360" s="483"/>
      <c r="AL360" s="484"/>
      <c r="AM360" s="129"/>
      <c r="AN360" s="129"/>
      <c r="AO360" s="129"/>
      <c r="AP360" s="129"/>
      <c r="AQ360" s="129"/>
      <c r="AR360" s="129"/>
      <c r="AS360" s="129"/>
    </row>
    <row r="361">
      <c r="A361" s="16"/>
      <c r="B361" s="419" t="s">
        <v>91</v>
      </c>
      <c r="C361" s="168"/>
      <c r="D361" s="168" t="s">
        <v>132</v>
      </c>
      <c r="E361" s="466" t="s">
        <v>640</v>
      </c>
      <c r="F361" s="462">
        <f>AD1</f>
        <v>1</v>
      </c>
      <c r="G361" s="420">
        <f>F361*400</f>
        <v>400</v>
      </c>
      <c r="H361" s="421">
        <v>0.25</v>
      </c>
      <c r="I361" s="468">
        <f>G361*H361</f>
        <v>100</v>
      </c>
      <c r="J361" s="338" t="s">
        <v>80</v>
      </c>
      <c r="K361" s="11"/>
      <c r="L361" s="16"/>
      <c r="M361" s="12"/>
      <c r="N361" s="12"/>
      <c r="O361" s="12"/>
      <c r="P361" s="415"/>
      <c r="Q361" s="12"/>
      <c r="R361" s="12"/>
      <c r="S361" s="12"/>
      <c r="T361" s="12"/>
      <c r="U361" s="12"/>
      <c r="V361" s="12"/>
      <c r="W361" s="12"/>
      <c r="X361" s="12"/>
      <c r="Y361" s="129"/>
      <c r="Z361" s="129"/>
      <c r="AA361" s="129"/>
      <c r="AB361" s="129"/>
      <c r="AC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</row>
    <row r="362">
      <c r="A362" s="16"/>
      <c r="B362" s="419"/>
      <c r="C362" s="168"/>
      <c r="D362" s="168"/>
      <c r="E362" s="466"/>
      <c r="F362" s="462">
        <f>AD1</f>
        <v>1</v>
      </c>
      <c r="G362" s="420"/>
      <c r="H362" s="421"/>
      <c r="I362" s="468"/>
      <c r="J362" s="338"/>
      <c r="K362" s="11"/>
      <c r="L362" s="16"/>
      <c r="M362" s="12"/>
      <c r="N362" s="12"/>
      <c r="O362" s="12"/>
      <c r="P362" s="415"/>
      <c r="Q362" s="12"/>
      <c r="R362" s="12"/>
      <c r="S362" s="12"/>
      <c r="T362" s="12"/>
      <c r="U362" s="12"/>
      <c r="V362" s="12"/>
      <c r="W362" s="12"/>
      <c r="X362" s="12"/>
      <c r="Y362" s="129"/>
      <c r="Z362" s="129"/>
      <c r="AA362" s="129"/>
      <c r="AB362" s="129"/>
      <c r="AC362" s="129"/>
      <c r="AK362" s="129"/>
      <c r="AL362" s="129"/>
      <c r="AM362" s="129"/>
      <c r="AN362" s="129"/>
      <c r="AO362" s="129"/>
      <c r="AP362" s="129"/>
      <c r="AQ362" s="129"/>
      <c r="AR362" s="129"/>
      <c r="AS362" s="129"/>
    </row>
    <row r="363" hidden="1">
      <c r="A363" s="16"/>
      <c r="B363" s="210">
        <v>2026.0</v>
      </c>
      <c r="C363" s="170"/>
      <c r="D363" s="170" t="s">
        <v>193</v>
      </c>
      <c r="E363" s="170" t="s">
        <v>681</v>
      </c>
      <c r="F363" s="203">
        <v>0.0</v>
      </c>
      <c r="G363" s="205">
        <f>50*F363</f>
        <v>0</v>
      </c>
      <c r="H363" s="173">
        <v>0.9</v>
      </c>
      <c r="I363" s="385">
        <f>G363*H363</f>
        <v>0</v>
      </c>
      <c r="J363" s="174" t="s">
        <v>55</v>
      </c>
      <c r="K363" s="11"/>
      <c r="L363" s="16"/>
      <c r="M363" s="16"/>
      <c r="N363" s="16"/>
      <c r="O363" s="12"/>
      <c r="P363" s="12"/>
      <c r="Q363" s="12"/>
      <c r="R363" s="12"/>
      <c r="S363" s="12"/>
      <c r="T363" s="12"/>
      <c r="U363" s="12"/>
      <c r="V363" s="12"/>
      <c r="AF363" s="12"/>
      <c r="AG363" s="445">
        <f>I363</f>
        <v>0</v>
      </c>
      <c r="AH363" s="12"/>
      <c r="AI363" s="12"/>
      <c r="AJ363" s="12"/>
      <c r="AL363" s="12"/>
      <c r="AM363" s="12"/>
      <c r="AN363" s="12"/>
      <c r="AO363" s="12"/>
      <c r="AP363" s="12"/>
      <c r="AQ363" s="12"/>
      <c r="AR363" s="12"/>
      <c r="AS363" s="12"/>
    </row>
    <row r="364" hidden="1">
      <c r="A364" s="16"/>
      <c r="B364" s="169"/>
      <c r="C364" s="170"/>
      <c r="D364" s="170"/>
      <c r="E364" s="170"/>
      <c r="F364" s="203">
        <v>0.0</v>
      </c>
      <c r="G364" s="205"/>
      <c r="H364" s="173"/>
      <c r="I364" s="207"/>
      <c r="J364" s="174"/>
      <c r="K364" s="11"/>
      <c r="L364" s="16"/>
      <c r="M364" s="16"/>
      <c r="N364" s="16"/>
      <c r="O364" s="12"/>
      <c r="P364" s="12"/>
      <c r="Q364" s="12"/>
      <c r="R364" s="12"/>
      <c r="S364" s="12"/>
      <c r="T364" s="12"/>
      <c r="U364" s="12"/>
      <c r="V364" s="12"/>
      <c r="AG364" s="100"/>
      <c r="AH364" s="100">
        <f>F363*H363*1.5</f>
        <v>0</v>
      </c>
      <c r="AI364" s="100">
        <f>F363*H363*2.7</f>
        <v>0</v>
      </c>
      <c r="AJ364" s="100"/>
      <c r="AK364" s="100">
        <f>F363*H363*1.5</f>
        <v>0</v>
      </c>
      <c r="AL364" s="100">
        <f>F363*H363*14</f>
        <v>0</v>
      </c>
      <c r="AM364" s="100">
        <f>F363*H363*1.5</f>
        <v>0</v>
      </c>
      <c r="AN364" s="12"/>
      <c r="AO364" s="12"/>
      <c r="AP364" s="12"/>
      <c r="AQ364" s="12"/>
      <c r="AR364" s="12"/>
      <c r="AS364" s="12"/>
    </row>
    <row r="365" hidden="1">
      <c r="A365" s="16"/>
      <c r="B365" s="419" t="s">
        <v>91</v>
      </c>
      <c r="C365" s="209"/>
      <c r="D365" s="209" t="s">
        <v>598</v>
      </c>
      <c r="E365" s="209" t="s">
        <v>682</v>
      </c>
      <c r="F365" s="462">
        <v>0.0</v>
      </c>
      <c r="G365" s="420">
        <f>F365*320</f>
        <v>0</v>
      </c>
      <c r="H365" s="421">
        <v>0.25</v>
      </c>
      <c r="I365" s="385">
        <f>G365*H365</f>
        <v>0</v>
      </c>
      <c r="J365" s="338" t="s">
        <v>80</v>
      </c>
      <c r="K365" s="37"/>
      <c r="L365" s="16"/>
      <c r="M365" s="16"/>
      <c r="N365" s="16"/>
      <c r="O365" s="16"/>
      <c r="P365" s="16"/>
      <c r="Q365" s="16"/>
      <c r="R365" s="16"/>
      <c r="S365" s="16"/>
      <c r="T365" s="16"/>
      <c r="U365" s="83"/>
      <c r="V365" s="129"/>
      <c r="W365" s="129"/>
      <c r="AJ365" s="441">
        <f>F365*I365*10%*46%</f>
        <v>0</v>
      </c>
      <c r="AK365" s="441">
        <f>F365*I365*10%*46%+F365*I365*30%*54%</f>
        <v>0</v>
      </c>
      <c r="AL365" s="441">
        <f>F365*I365*15%*46%</f>
        <v>0</v>
      </c>
      <c r="AM365" s="441">
        <f>F365*I365*10%*46%+F365*I365*70%*54%</f>
        <v>0</v>
      </c>
      <c r="AN365" s="441"/>
      <c r="AO365" s="441"/>
      <c r="AP365" s="441">
        <f>F365*I365*35%*46%</f>
        <v>0</v>
      </c>
      <c r="AQ365" s="441">
        <f>F365*I365*15%*46%</f>
        <v>0</v>
      </c>
      <c r="AR365" s="441">
        <f>F365*I365*5%*46%</f>
        <v>0</v>
      </c>
      <c r="AS365" s="523"/>
    </row>
    <row r="366" hidden="1">
      <c r="A366" s="16"/>
      <c r="B366" s="419"/>
      <c r="C366" s="209"/>
      <c r="D366" s="209"/>
      <c r="E366" s="470"/>
      <c r="F366" s="178">
        <v>0.0</v>
      </c>
      <c r="G366" s="420"/>
      <c r="H366" s="421"/>
      <c r="I366" s="385"/>
      <c r="J366" s="338"/>
      <c r="K366" s="37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29"/>
      <c r="W366" s="129"/>
      <c r="AJ366" s="443">
        <f>F365*H365*0.25</f>
        <v>0</v>
      </c>
      <c r="AK366" s="443"/>
      <c r="AL366" s="443"/>
      <c r="AM366" s="443">
        <f>F365*H365*9.9</f>
        <v>0</v>
      </c>
      <c r="AN366" s="443">
        <f>F365*H365*115</f>
        <v>0</v>
      </c>
      <c r="AO366" s="443">
        <f>F365*H365*15.7</f>
        <v>0</v>
      </c>
      <c r="AP366" s="443"/>
      <c r="AQ366" s="443"/>
      <c r="AR366" s="443"/>
      <c r="AS366" s="524"/>
    </row>
    <row r="367">
      <c r="A367" s="16"/>
      <c r="B367" s="425" t="s">
        <v>47</v>
      </c>
      <c r="C367" s="426"/>
      <c r="D367" s="426"/>
      <c r="E367" s="426"/>
      <c r="F367" s="427"/>
      <c r="G367" s="428">
        <f>SUM(G349:G366)</f>
        <v>712</v>
      </c>
      <c r="H367" s="429"/>
      <c r="I367" s="428">
        <f>SUM(I349:I366)</f>
        <v>174.55</v>
      </c>
      <c r="J367" s="430"/>
      <c r="K367" s="11"/>
      <c r="L367" s="16"/>
      <c r="M367" s="16"/>
      <c r="N367" s="16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AG367" s="12"/>
      <c r="AH367" s="12"/>
      <c r="AI367" s="12"/>
      <c r="AJ367" s="12"/>
      <c r="AK367" s="12"/>
      <c r="AL367" s="12"/>
      <c r="AN367" s="12"/>
      <c r="AO367" s="12"/>
      <c r="AP367" s="12"/>
      <c r="AQ367" s="12"/>
      <c r="AR367" s="12"/>
      <c r="AS367" s="12"/>
    </row>
    <row r="368" hidden="1">
      <c r="A368" s="16"/>
      <c r="B368" s="419" t="s">
        <v>77</v>
      </c>
      <c r="C368" s="168"/>
      <c r="D368" s="168" t="s">
        <v>683</v>
      </c>
      <c r="E368" s="466" t="s">
        <v>640</v>
      </c>
      <c r="F368" s="462">
        <v>0.0</v>
      </c>
      <c r="G368" s="420">
        <f>F368*150</f>
        <v>0</v>
      </c>
      <c r="H368" s="421">
        <v>0.15</v>
      </c>
      <c r="I368" s="468">
        <f>G368*H368</f>
        <v>0</v>
      </c>
      <c r="J368" s="338" t="s">
        <v>80</v>
      </c>
      <c r="K368" s="37"/>
      <c r="L368" s="16"/>
      <c r="M368" s="12"/>
      <c r="N368" s="12"/>
      <c r="O368" s="12"/>
      <c r="P368" s="415"/>
      <c r="Q368" s="12"/>
      <c r="R368" s="12"/>
      <c r="S368" s="12"/>
      <c r="T368" s="12"/>
      <c r="U368" s="12"/>
      <c r="V368" s="12"/>
      <c r="W368" s="12"/>
      <c r="X368" s="12"/>
      <c r="Y368" s="129"/>
      <c r="Z368" s="129"/>
      <c r="AA368" s="129"/>
      <c r="AB368" s="129"/>
      <c r="AC368" s="129"/>
      <c r="AD368" s="129"/>
      <c r="AL368" s="279">
        <f>I368*30%</f>
        <v>0</v>
      </c>
      <c r="AM368" s="279">
        <f>I368*20%</f>
        <v>0</v>
      </c>
      <c r="AN368" s="336">
        <f>I368*20%</f>
        <v>0</v>
      </c>
      <c r="AO368" s="279">
        <f>I368*10%</f>
        <v>0</v>
      </c>
      <c r="AP368" s="336">
        <f>I368*20%</f>
        <v>0</v>
      </c>
      <c r="AQ368" s="129"/>
      <c r="AR368" s="129"/>
      <c r="AS368" s="129"/>
    </row>
    <row r="369" hidden="1">
      <c r="A369" s="16"/>
      <c r="B369" s="419"/>
      <c r="C369" s="168"/>
      <c r="D369" s="168"/>
      <c r="E369" s="466"/>
      <c r="F369" s="473">
        <v>0.0</v>
      </c>
      <c r="G369" s="420"/>
      <c r="H369" s="421"/>
      <c r="I369" s="468"/>
      <c r="J369" s="338"/>
      <c r="K369" s="37"/>
      <c r="L369" s="16"/>
      <c r="M369" s="12"/>
      <c r="N369" s="12"/>
      <c r="O369" s="12"/>
      <c r="P369" s="415"/>
      <c r="Q369" s="12"/>
      <c r="R369" s="12"/>
      <c r="S369" s="12"/>
      <c r="T369" s="12"/>
      <c r="U369" s="12"/>
      <c r="V369" s="12"/>
      <c r="W369" s="12"/>
      <c r="X369" s="12"/>
      <c r="Y369" s="129"/>
      <c r="Z369" s="129"/>
      <c r="AA369" s="129"/>
      <c r="AB369" s="129"/>
      <c r="AC369" s="129"/>
      <c r="AD369" s="129"/>
      <c r="AL369" s="477"/>
      <c r="AM369" s="477"/>
      <c r="AN369" s="477">
        <f>12.7*H368*F368</f>
        <v>0</v>
      </c>
      <c r="AO369" s="477">
        <f>3.6*H368*F368</f>
        <v>0</v>
      </c>
      <c r="AP369" s="387"/>
      <c r="AQ369" s="129"/>
      <c r="AR369" s="129"/>
      <c r="AS369" s="129"/>
    </row>
    <row r="370">
      <c r="A370" s="16"/>
      <c r="B370" s="419" t="s">
        <v>103</v>
      </c>
      <c r="C370" s="168"/>
      <c r="D370" s="168" t="s">
        <v>132</v>
      </c>
      <c r="E370" s="466" t="s">
        <v>684</v>
      </c>
      <c r="F370" s="462">
        <f>AD1</f>
        <v>1</v>
      </c>
      <c r="G370" s="420">
        <f>F370*80</f>
        <v>80</v>
      </c>
      <c r="H370" s="421">
        <v>0.15</v>
      </c>
      <c r="I370" s="468">
        <f>G370*H370</f>
        <v>12</v>
      </c>
      <c r="J370" s="338" t="s">
        <v>80</v>
      </c>
      <c r="K370" s="11"/>
      <c r="L370" s="16"/>
      <c r="M370" s="12"/>
      <c r="N370" s="12"/>
      <c r="O370" s="12"/>
      <c r="P370" s="415"/>
      <c r="Q370" s="12"/>
      <c r="R370" s="12"/>
      <c r="S370" s="12"/>
      <c r="T370" s="12"/>
      <c r="U370" s="12"/>
      <c r="V370" s="12"/>
      <c r="W370" s="12"/>
      <c r="X370" s="12"/>
      <c r="Y370" s="129"/>
      <c r="Z370" s="129"/>
      <c r="AA370" s="129"/>
      <c r="AB370" s="129"/>
      <c r="AC370" s="129"/>
      <c r="AK370" s="129"/>
      <c r="AL370" s="129"/>
      <c r="AM370" s="129"/>
      <c r="AN370" s="129"/>
      <c r="AO370" s="129"/>
      <c r="AP370" s="129"/>
      <c r="AQ370" s="129"/>
      <c r="AR370" s="129"/>
      <c r="AS370" s="129"/>
    </row>
    <row r="371">
      <c r="A371" s="16"/>
      <c r="B371" s="419"/>
      <c r="C371" s="168"/>
      <c r="D371" s="168"/>
      <c r="E371" s="466"/>
      <c r="F371" s="463">
        <f>AD1</f>
        <v>1</v>
      </c>
      <c r="G371" s="420"/>
      <c r="H371" s="421"/>
      <c r="I371" s="468"/>
      <c r="J371" s="479"/>
      <c r="K371" s="37"/>
      <c r="L371" s="16"/>
      <c r="M371" s="12"/>
      <c r="N371" s="12"/>
      <c r="O371" s="415"/>
      <c r="P371" s="415"/>
      <c r="Q371" s="197"/>
      <c r="R371" s="415"/>
      <c r="S371" s="415"/>
      <c r="T371" s="12"/>
      <c r="U371" s="12"/>
      <c r="V371" s="12"/>
      <c r="W371" s="12"/>
      <c r="X371" s="12"/>
      <c r="Y371" s="129"/>
      <c r="Z371" s="129"/>
      <c r="AA371" s="129"/>
      <c r="AB371" s="129"/>
      <c r="AC371" s="129"/>
      <c r="AK371" s="12"/>
      <c r="AL371" s="12"/>
      <c r="AM371" s="12"/>
      <c r="AN371" s="12"/>
      <c r="AO371" s="12"/>
      <c r="AP371" s="12"/>
      <c r="AQ371" s="12"/>
      <c r="AR371" s="12"/>
      <c r="AS371" s="12"/>
    </row>
    <row r="372">
      <c r="A372" s="16"/>
      <c r="B372" s="419" t="s">
        <v>131</v>
      </c>
      <c r="C372" s="170"/>
      <c r="D372" s="168" t="s">
        <v>685</v>
      </c>
      <c r="E372" s="466" t="s">
        <v>686</v>
      </c>
      <c r="F372" s="462">
        <f>AD1</f>
        <v>1</v>
      </c>
      <c r="G372" s="420">
        <f>15*F372</f>
        <v>15</v>
      </c>
      <c r="H372" s="421">
        <v>0.5</v>
      </c>
      <c r="I372" s="385">
        <f>G372*H372</f>
        <v>7.5</v>
      </c>
      <c r="J372" s="338" t="s">
        <v>80</v>
      </c>
      <c r="K372" s="11" t="s">
        <v>642</v>
      </c>
      <c r="L372" s="16"/>
      <c r="M372" s="12"/>
      <c r="N372" s="12"/>
      <c r="O372" s="12"/>
      <c r="P372" s="415"/>
      <c r="Q372" s="12"/>
      <c r="R372" s="12"/>
      <c r="S372" s="12"/>
      <c r="T372" s="12"/>
      <c r="U372" s="12"/>
      <c r="V372" s="12"/>
      <c r="W372" s="12"/>
      <c r="X372" s="12"/>
      <c r="Y372" s="129"/>
      <c r="Z372" s="129"/>
      <c r="AA372" s="129"/>
      <c r="AB372" s="129"/>
      <c r="AC372" s="129"/>
      <c r="AD372" s="129"/>
      <c r="AJ372" s="279">
        <f>I372*30%</f>
        <v>2.25</v>
      </c>
      <c r="AK372" s="279">
        <f>I372*20%</f>
        <v>1.5</v>
      </c>
      <c r="AL372" s="336">
        <f>I372*20%</f>
        <v>1.5</v>
      </c>
      <c r="AM372" s="279">
        <f>I372*10%</f>
        <v>0.75</v>
      </c>
      <c r="AN372" s="336">
        <f>I372*20%</f>
        <v>1.5</v>
      </c>
      <c r="AO372" s="129"/>
      <c r="AP372" s="129"/>
      <c r="AQ372" s="129"/>
      <c r="AR372" s="129"/>
      <c r="AS372" s="129"/>
    </row>
    <row r="373">
      <c r="A373" s="16"/>
      <c r="B373" s="419"/>
      <c r="C373" s="168"/>
      <c r="D373" s="168"/>
      <c r="E373" s="466"/>
      <c r="F373" s="462">
        <f>AD1</f>
        <v>1</v>
      </c>
      <c r="G373" s="420"/>
      <c r="H373" s="421"/>
      <c r="I373" s="468"/>
      <c r="J373" s="338"/>
      <c r="K373" s="37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9"/>
      <c r="Z373" s="129"/>
      <c r="AA373" s="129"/>
      <c r="AB373" s="129"/>
      <c r="AC373" s="129"/>
      <c r="AD373" s="129"/>
      <c r="AJ373" s="477"/>
      <c r="AK373" s="477"/>
      <c r="AL373" s="477">
        <f>12.7*H372*F372</f>
        <v>6.35</v>
      </c>
      <c r="AM373" s="477">
        <f>3.6*H372*F372</f>
        <v>1.8</v>
      </c>
      <c r="AN373" s="387"/>
      <c r="AO373" s="129"/>
      <c r="AP373" s="129"/>
      <c r="AQ373" s="129"/>
      <c r="AR373" s="129"/>
      <c r="AS373" s="129"/>
    </row>
    <row r="374">
      <c r="A374" s="16"/>
      <c r="B374" s="419" t="s">
        <v>103</v>
      </c>
      <c r="C374" s="170"/>
      <c r="D374" s="168" t="s">
        <v>687</v>
      </c>
      <c r="E374" s="466" t="s">
        <v>688</v>
      </c>
      <c r="F374" s="462">
        <f>AD1</f>
        <v>1</v>
      </c>
      <c r="G374" s="420">
        <f>F374*150</f>
        <v>150</v>
      </c>
      <c r="H374" s="421">
        <v>0.3</v>
      </c>
      <c r="I374" s="468">
        <f>G374*H374</f>
        <v>45</v>
      </c>
      <c r="J374" s="338" t="s">
        <v>80</v>
      </c>
      <c r="K374" s="11"/>
      <c r="L374" s="16"/>
      <c r="M374" s="12"/>
      <c r="N374" s="12"/>
      <c r="O374" s="12"/>
      <c r="P374" s="415"/>
      <c r="Q374" s="12"/>
      <c r="R374" s="12"/>
      <c r="S374" s="12"/>
      <c r="T374" s="12"/>
      <c r="U374" s="12"/>
      <c r="V374" s="12"/>
      <c r="W374" s="12"/>
      <c r="X374" s="12"/>
      <c r="Y374" s="129"/>
      <c r="Z374" s="129"/>
      <c r="AA374" s="129"/>
      <c r="AB374" s="129"/>
      <c r="AC374" s="129"/>
      <c r="AF374" s="445"/>
      <c r="AG374" s="445">
        <f>I374*63%*15%</f>
        <v>4.2525</v>
      </c>
      <c r="AH374" s="445">
        <f>I374*63%*25%</f>
        <v>7.0875</v>
      </c>
      <c r="AI374" s="445"/>
      <c r="AJ374" s="445">
        <f>I374*37%*50%</f>
        <v>8.325</v>
      </c>
      <c r="AK374" s="445">
        <f>I374*63%*25%</f>
        <v>7.0875</v>
      </c>
      <c r="AL374" s="445">
        <f>I374*63%*15%+I374*37%*50%</f>
        <v>12.5775</v>
      </c>
      <c r="AM374" s="445">
        <f>I374*63%*20%</f>
        <v>5.67</v>
      </c>
      <c r="AN374" s="129"/>
      <c r="AO374" s="129"/>
      <c r="AP374" s="129"/>
      <c r="AQ374" s="129"/>
      <c r="AR374" s="129"/>
      <c r="AS374" s="129"/>
    </row>
    <row r="375">
      <c r="A375" s="16"/>
      <c r="B375" s="419"/>
      <c r="C375" s="168"/>
      <c r="D375" s="168"/>
      <c r="E375" s="466"/>
      <c r="F375" s="462">
        <f>AD1</f>
        <v>1</v>
      </c>
      <c r="G375" s="420"/>
      <c r="H375" s="421"/>
      <c r="I375" s="468"/>
      <c r="J375" s="338"/>
      <c r="K375" s="37"/>
      <c r="L375" s="16"/>
      <c r="M375" s="12"/>
      <c r="N375" s="12"/>
      <c r="O375" s="12"/>
      <c r="P375" s="415"/>
      <c r="Q375" s="12"/>
      <c r="R375" s="12"/>
      <c r="S375" s="12"/>
      <c r="T375" s="12"/>
      <c r="U375" s="12"/>
      <c r="V375" s="12"/>
      <c r="W375" s="12"/>
      <c r="X375" s="12"/>
      <c r="Y375" s="129"/>
      <c r="Z375" s="129"/>
      <c r="AA375" s="129"/>
      <c r="AB375" s="129"/>
      <c r="AC375" s="129"/>
      <c r="AF375" s="525">
        <f>F374*H374*2.7</f>
        <v>0.81</v>
      </c>
      <c r="AG375" s="477"/>
      <c r="AH375" s="477"/>
      <c r="AI375" s="477"/>
      <c r="AJ375" s="443">
        <f>F374*H374*2.7</f>
        <v>0.81</v>
      </c>
      <c r="AK375" s="443">
        <f>F374*H374*29</f>
        <v>8.7</v>
      </c>
      <c r="AL375" s="443">
        <f>F374*H374*21</f>
        <v>6.3</v>
      </c>
      <c r="AM375" s="443">
        <f>F374*H374*21</f>
        <v>6.3</v>
      </c>
      <c r="AN375" s="129"/>
      <c r="AO375" s="129"/>
      <c r="AP375" s="129"/>
      <c r="AQ375" s="129"/>
      <c r="AR375" s="129"/>
      <c r="AS375" s="129"/>
    </row>
    <row r="376">
      <c r="A376" s="16"/>
      <c r="B376" s="419" t="s">
        <v>127</v>
      </c>
      <c r="C376" s="168"/>
      <c r="D376" s="168" t="s">
        <v>673</v>
      </c>
      <c r="E376" s="466" t="s">
        <v>674</v>
      </c>
      <c r="F376" s="462">
        <f>AD1</f>
        <v>1</v>
      </c>
      <c r="G376" s="420">
        <f>F376*300</f>
        <v>300</v>
      </c>
      <c r="H376" s="421">
        <v>0.15</v>
      </c>
      <c r="I376" s="468">
        <f>G376*H376</f>
        <v>45</v>
      </c>
      <c r="J376" s="338" t="s">
        <v>80</v>
      </c>
      <c r="K376" s="11"/>
      <c r="L376" s="16"/>
      <c r="M376" s="12"/>
      <c r="N376" s="12"/>
      <c r="O376" s="12"/>
      <c r="P376" s="415"/>
      <c r="Q376" s="12"/>
      <c r="R376" s="12"/>
      <c r="S376" s="12"/>
      <c r="T376" s="12"/>
      <c r="U376" s="12"/>
      <c r="V376" s="12"/>
      <c r="W376" s="12"/>
      <c r="X376" s="12"/>
      <c r="Y376" s="129"/>
      <c r="Z376" s="129"/>
      <c r="AA376" s="129"/>
      <c r="AB376" s="129"/>
      <c r="AC376" s="129"/>
      <c r="AK376" s="129"/>
      <c r="AL376" s="129"/>
      <c r="AM376" s="129"/>
      <c r="AN376" s="129"/>
      <c r="AO376" s="129"/>
      <c r="AP376" s="129"/>
      <c r="AQ376" s="129"/>
      <c r="AR376" s="129"/>
      <c r="AS376" s="129"/>
    </row>
    <row r="377">
      <c r="A377" s="16"/>
      <c r="B377" s="419"/>
      <c r="C377" s="168"/>
      <c r="D377" s="168"/>
      <c r="E377" s="466"/>
      <c r="F377" s="463">
        <f>AD1</f>
        <v>1</v>
      </c>
      <c r="G377" s="420"/>
      <c r="H377" s="421"/>
      <c r="I377" s="468"/>
      <c r="J377" s="479"/>
      <c r="K377" s="37"/>
      <c r="L377" s="16"/>
      <c r="M377" s="12"/>
      <c r="N377" s="12"/>
      <c r="O377" s="415"/>
      <c r="P377" s="415"/>
      <c r="Q377" s="197"/>
      <c r="R377" s="415"/>
      <c r="S377" s="415"/>
      <c r="T377" s="12"/>
      <c r="U377" s="12"/>
      <c r="V377" s="12"/>
      <c r="W377" s="12"/>
      <c r="X377" s="12"/>
      <c r="Y377" s="129"/>
      <c r="Z377" s="129"/>
      <c r="AA377" s="129"/>
      <c r="AB377" s="129"/>
      <c r="AC377" s="129"/>
      <c r="AK377" s="12"/>
      <c r="AL377" s="12"/>
      <c r="AM377" s="12"/>
      <c r="AN377" s="12"/>
      <c r="AO377" s="12"/>
      <c r="AP377" s="12"/>
      <c r="AQ377" s="12"/>
      <c r="AR377" s="12"/>
      <c r="AS377" s="12"/>
    </row>
    <row r="378">
      <c r="A378" s="16"/>
      <c r="B378" s="419" t="s">
        <v>127</v>
      </c>
      <c r="C378" s="168"/>
      <c r="D378" s="168" t="s">
        <v>574</v>
      </c>
      <c r="E378" s="466" t="s">
        <v>689</v>
      </c>
      <c r="F378" s="462">
        <f>AD1</f>
        <v>1</v>
      </c>
      <c r="G378" s="420">
        <f>F378*380</f>
        <v>380</v>
      </c>
      <c r="H378" s="421">
        <v>0.15</v>
      </c>
      <c r="I378" s="468">
        <f>G378*H378</f>
        <v>57</v>
      </c>
      <c r="J378" s="338" t="s">
        <v>15</v>
      </c>
      <c r="K378" s="11"/>
      <c r="L378" s="16"/>
      <c r="M378" s="12"/>
      <c r="N378" s="12"/>
      <c r="O378" s="12"/>
      <c r="P378" s="415"/>
      <c r="Q378" s="12"/>
      <c r="R378" s="12"/>
      <c r="S378" s="12"/>
      <c r="T378" s="12"/>
      <c r="U378" s="12"/>
      <c r="V378" s="12"/>
      <c r="W378" s="12"/>
      <c r="X378" s="12"/>
      <c r="Y378" s="129"/>
      <c r="Z378" s="129"/>
      <c r="AA378" s="129"/>
      <c r="AB378" s="129"/>
      <c r="AC378" s="129"/>
      <c r="AK378" s="129"/>
      <c r="AL378" s="129"/>
      <c r="AM378" s="129"/>
      <c r="AN378" s="129"/>
      <c r="AO378" s="129"/>
      <c r="AP378" s="129"/>
      <c r="AQ378" s="129"/>
      <c r="AR378" s="129"/>
      <c r="AS378" s="129"/>
    </row>
    <row r="379">
      <c r="A379" s="16"/>
      <c r="B379" s="419"/>
      <c r="C379" s="168"/>
      <c r="D379" s="168"/>
      <c r="E379" s="466"/>
      <c r="F379" s="463">
        <f>AD1</f>
        <v>1</v>
      </c>
      <c r="G379" s="420"/>
      <c r="H379" s="421"/>
      <c r="I379" s="468"/>
      <c r="J379" s="479"/>
      <c r="K379" s="37"/>
      <c r="L379" s="16"/>
      <c r="M379" s="12"/>
      <c r="N379" s="12"/>
      <c r="O379" s="415"/>
      <c r="P379" s="415"/>
      <c r="Q379" s="197"/>
      <c r="R379" s="415"/>
      <c r="S379" s="415"/>
      <c r="T379" s="12"/>
      <c r="U379" s="12"/>
      <c r="V379" s="12"/>
      <c r="W379" s="12"/>
      <c r="X379" s="12"/>
      <c r="Y379" s="129"/>
      <c r="Z379" s="129"/>
      <c r="AA379" s="129"/>
      <c r="AB379" s="129"/>
      <c r="AC379" s="129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>
      <c r="A380" s="16"/>
      <c r="B380" s="425" t="s">
        <v>48</v>
      </c>
      <c r="C380" s="426"/>
      <c r="D380" s="426"/>
      <c r="E380" s="426"/>
      <c r="F380" s="427"/>
      <c r="G380" s="428">
        <f>SUM(G368:G378)</f>
        <v>925</v>
      </c>
      <c r="H380" s="429"/>
      <c r="I380" s="428">
        <f>SUM(I368:I378)</f>
        <v>166.5</v>
      </c>
      <c r="J380" s="430"/>
      <c r="K380" s="11"/>
      <c r="L380" s="16"/>
      <c r="M380" s="16"/>
      <c r="N380" s="16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AA380" s="505">
        <f t="shared" ref="AA380:AL380" si="26">AA349+AA361+AA365+AA368+AA370</f>
        <v>0</v>
      </c>
      <c r="AB380" s="505">
        <f t="shared" si="26"/>
        <v>0</v>
      </c>
      <c r="AC380" s="505">
        <f t="shared" si="26"/>
        <v>0</v>
      </c>
      <c r="AD380" s="505">
        <f t="shared" si="26"/>
        <v>0</v>
      </c>
      <c r="AE380" s="505">
        <f t="shared" si="26"/>
        <v>0</v>
      </c>
      <c r="AF380" s="505">
        <f t="shared" si="26"/>
        <v>0</v>
      </c>
      <c r="AG380" s="505">
        <f t="shared" si="26"/>
        <v>0</v>
      </c>
      <c r="AH380" s="505">
        <f t="shared" si="26"/>
        <v>0</v>
      </c>
      <c r="AI380" s="505">
        <f t="shared" si="26"/>
        <v>0</v>
      </c>
      <c r="AJ380" s="412">
        <f t="shared" si="26"/>
        <v>0</v>
      </c>
      <c r="AK380" s="412">
        <f t="shared" si="26"/>
        <v>0</v>
      </c>
      <c r="AL380" s="412">
        <f t="shared" si="26"/>
        <v>0</v>
      </c>
      <c r="AN380" s="12"/>
      <c r="AO380" s="12"/>
      <c r="AP380" s="12"/>
      <c r="AQ380" s="12"/>
      <c r="AR380" s="12"/>
      <c r="AS380" s="12"/>
    </row>
    <row r="381">
      <c r="A381" s="16"/>
      <c r="B381" s="83"/>
      <c r="C381" s="16"/>
      <c r="D381" s="16"/>
      <c r="E381" s="16"/>
      <c r="F381" s="462">
        <v>1.0</v>
      </c>
      <c r="G381" s="526">
        <f>G367+G380</f>
        <v>1637</v>
      </c>
      <c r="H381" s="432"/>
      <c r="I381" s="526">
        <f>I367+I380</f>
        <v>341.05</v>
      </c>
      <c r="J381" s="433"/>
      <c r="K381" s="37"/>
      <c r="L381" s="527" t="str">
        <f t="shared" ref="L381:P381" si="27">#REF!+L269+#REF!+#REF!+L340</f>
        <v>#REF!</v>
      </c>
      <c r="M381" s="527" t="str">
        <f t="shared" si="27"/>
        <v>#REF!</v>
      </c>
      <c r="N381" s="527" t="str">
        <f t="shared" si="27"/>
        <v>#REF!</v>
      </c>
      <c r="O381" s="527" t="str">
        <f t="shared" si="27"/>
        <v>#REF!</v>
      </c>
      <c r="P381" s="527" t="str">
        <f t="shared" si="27"/>
        <v>#REF!</v>
      </c>
      <c r="Q381" s="527" t="str">
        <f t="shared" ref="Q381:Q382" si="33">Q269+#REF!+#REF!+#REF!</f>
        <v>#REF!</v>
      </c>
      <c r="R381" s="527" t="str">
        <f t="shared" ref="R381:R382" si="34">#REF!+R269+#REF!+R340+#REF!+#REF!+#REF!</f>
        <v>#REF!</v>
      </c>
      <c r="S381" s="527" t="str">
        <f t="shared" ref="S381:T381" si="28">#REF!+#REF!+S340+#REF!+S269+#REF!</f>
        <v>#REF!</v>
      </c>
      <c r="T381" s="527" t="str">
        <f t="shared" si="28"/>
        <v>#REF!</v>
      </c>
      <c r="U381" s="505" t="str">
        <f t="shared" ref="U381:V381" si="29">U275+U290+U351+U365+U286+U277+#REF!+U294+U326+U342+U340</f>
        <v>#REF!</v>
      </c>
      <c r="V381" s="505" t="str">
        <f t="shared" si="29"/>
        <v>#REF!</v>
      </c>
      <c r="W381" s="505" t="str">
        <f t="shared" ref="W381:Z381" si="30">W284+W288+W296+W351+W330+W302+W374+W334+W372+#REF!+W340</f>
        <v>#REF!</v>
      </c>
      <c r="X381" s="505" t="str">
        <f t="shared" si="30"/>
        <v>#REF!</v>
      </c>
      <c r="Y381" s="505" t="str">
        <f t="shared" si="30"/>
        <v>#REF!</v>
      </c>
      <c r="Z381" s="505" t="str">
        <f t="shared" si="30"/>
        <v>#REF!</v>
      </c>
      <c r="AA381" s="505">
        <f t="shared" ref="AA381:AL381" si="31">AA350+AA362+AA366+AA369+AA371</f>
        <v>0</v>
      </c>
      <c r="AB381" s="505">
        <f t="shared" si="31"/>
        <v>0</v>
      </c>
      <c r="AC381" s="505">
        <f t="shared" si="31"/>
        <v>0</v>
      </c>
      <c r="AD381" s="505">
        <f t="shared" si="31"/>
        <v>0</v>
      </c>
      <c r="AE381" s="505">
        <f t="shared" si="31"/>
        <v>0</v>
      </c>
      <c r="AF381" s="505">
        <f t="shared" si="31"/>
        <v>0</v>
      </c>
      <c r="AG381" s="505">
        <f t="shared" si="31"/>
        <v>0</v>
      </c>
      <c r="AH381" s="505">
        <f t="shared" si="31"/>
        <v>0</v>
      </c>
      <c r="AI381" s="505">
        <f t="shared" si="31"/>
        <v>0</v>
      </c>
      <c r="AJ381" s="412">
        <f t="shared" si="31"/>
        <v>0</v>
      </c>
      <c r="AK381" s="412">
        <f t="shared" si="31"/>
        <v>0</v>
      </c>
      <c r="AL381" s="412">
        <f t="shared" si="31"/>
        <v>0</v>
      </c>
      <c r="AP381" s="12"/>
      <c r="AQ381" s="12"/>
      <c r="AR381" s="12"/>
      <c r="AS381" s="12"/>
    </row>
    <row r="382">
      <c r="A382" s="16"/>
      <c r="C382" s="16"/>
      <c r="D382" s="16"/>
      <c r="E382" s="16"/>
      <c r="F382" s="83"/>
      <c r="G382" s="528"/>
      <c r="H382" s="16"/>
      <c r="I382" s="528"/>
      <c r="J382" s="433"/>
      <c r="K382" s="37"/>
      <c r="L382" s="527" t="str">
        <f t="shared" ref="L382:P382" si="32">#REF!+L270+#REF!+#REF!+L341</f>
        <v>#REF!</v>
      </c>
      <c r="M382" s="527" t="str">
        <f t="shared" si="32"/>
        <v>#REF!</v>
      </c>
      <c r="N382" s="527" t="str">
        <f t="shared" si="32"/>
        <v>#REF!</v>
      </c>
      <c r="O382" s="527" t="str">
        <f t="shared" si="32"/>
        <v>#REF!</v>
      </c>
      <c r="P382" s="527" t="str">
        <f t="shared" si="32"/>
        <v>#REF!</v>
      </c>
      <c r="Q382" s="527" t="str">
        <f t="shared" si="33"/>
        <v>#REF!</v>
      </c>
      <c r="R382" s="527" t="str">
        <f t="shared" si="34"/>
        <v>#REF!</v>
      </c>
      <c r="S382" s="527" t="str">
        <f t="shared" ref="S382:T382" si="35">#REF!+#REF!+S341+#REF!+S270+#REF!</f>
        <v>#REF!</v>
      </c>
      <c r="T382" s="527" t="str">
        <f t="shared" si="35"/>
        <v>#REF!</v>
      </c>
      <c r="U382" s="505" t="str">
        <f t="shared" ref="U382:V382" si="36">U276+U291+U352+U366+U287+U278+#REF!+U295+U327+U343+U341</f>
        <v>#REF!</v>
      </c>
      <c r="V382" s="505" t="str">
        <f t="shared" si="36"/>
        <v>#REF!</v>
      </c>
      <c r="W382" s="505" t="str">
        <f t="shared" ref="W382:Z382" si="37">W285+W289+W297+W352+W331+W303+W375+W335+W373+#REF!+W341</f>
        <v>#REF!</v>
      </c>
      <c r="X382" s="505" t="str">
        <f t="shared" si="37"/>
        <v>#REF!</v>
      </c>
      <c r="Y382" s="505" t="str">
        <f t="shared" si="37"/>
        <v>#REF!</v>
      </c>
      <c r="Z382" s="505" t="str">
        <f t="shared" si="37"/>
        <v>#REF!</v>
      </c>
      <c r="AA382" s="12"/>
      <c r="AB382" s="12"/>
      <c r="AC382" s="12"/>
      <c r="AD382" s="12"/>
      <c r="AE382" s="12"/>
      <c r="AF382" s="508">
        <f t="shared" ref="AF382:AF383" si="38">SUM(W396:AF396)</f>
        <v>0</v>
      </c>
      <c r="AG382" s="12"/>
      <c r="AH382" s="12"/>
      <c r="AI382" s="12"/>
      <c r="AJ382" s="12"/>
      <c r="AK382" s="12"/>
      <c r="AL382" s="413">
        <f t="shared" ref="AL382:AL383" si="39">SUM(W396:AL396)</f>
        <v>0</v>
      </c>
      <c r="AP382" s="12"/>
      <c r="AQ382" s="12"/>
      <c r="AR382" s="12"/>
      <c r="AS382" s="12"/>
    </row>
    <row r="383">
      <c r="A383" s="16"/>
      <c r="B383" s="16"/>
      <c r="C383" s="16"/>
      <c r="D383" s="16"/>
      <c r="E383" s="16"/>
      <c r="F383" s="16"/>
      <c r="G383" s="528"/>
      <c r="H383" s="16"/>
      <c r="I383" s="528"/>
      <c r="J383" s="433"/>
      <c r="K383" s="37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2"/>
      <c r="Y383" s="12"/>
      <c r="Z383" s="12"/>
      <c r="AA383" s="12"/>
      <c r="AB383" s="12"/>
      <c r="AC383" s="12"/>
      <c r="AD383" s="12"/>
      <c r="AE383" s="12"/>
      <c r="AF383" s="529">
        <f t="shared" si="38"/>
        <v>0</v>
      </c>
      <c r="AG383" s="12"/>
      <c r="AH383" s="12"/>
      <c r="AI383" s="12"/>
      <c r="AJ383" s="12"/>
      <c r="AK383" s="12"/>
      <c r="AL383" s="413">
        <f t="shared" si="39"/>
        <v>0</v>
      </c>
      <c r="AP383" s="12"/>
      <c r="AQ383" s="12"/>
      <c r="AR383" s="12"/>
      <c r="AS383" s="12"/>
    </row>
    <row r="384">
      <c r="A384" s="435"/>
      <c r="K384" s="530"/>
      <c r="L384" s="531"/>
      <c r="M384" s="531"/>
      <c r="N384" s="531"/>
      <c r="O384" s="531"/>
      <c r="P384" s="531"/>
      <c r="Q384" s="531"/>
      <c r="R384" s="531"/>
      <c r="S384" s="531"/>
      <c r="T384" s="531"/>
      <c r="U384" s="12"/>
      <c r="V384" s="531"/>
      <c r="W384" s="531"/>
      <c r="X384" s="12"/>
      <c r="Y384" s="12"/>
      <c r="Z384" s="12"/>
      <c r="AP384" s="12"/>
      <c r="AQ384" s="12"/>
      <c r="AR384" s="12"/>
      <c r="AS384" s="12"/>
    </row>
    <row r="385" hidden="1">
      <c r="A385" s="16"/>
      <c r="B385" s="438" t="s">
        <v>37</v>
      </c>
      <c r="C385" s="81"/>
      <c r="D385" s="81" t="s">
        <v>159</v>
      </c>
      <c r="E385" s="81" t="s">
        <v>690</v>
      </c>
      <c r="F385" s="60">
        <v>0.0</v>
      </c>
      <c r="G385" s="60">
        <f>F385*11</f>
        <v>0</v>
      </c>
      <c r="H385" s="439">
        <v>1.0</v>
      </c>
      <c r="I385" s="81">
        <f>G385*H385</f>
        <v>0</v>
      </c>
      <c r="J385" s="81"/>
      <c r="K385" s="83"/>
      <c r="L385" s="16"/>
      <c r="M385" s="16"/>
      <c r="N385" s="16"/>
      <c r="O385" s="12"/>
      <c r="P385" s="12"/>
      <c r="Q385" s="12"/>
      <c r="R385" s="12"/>
      <c r="S385" s="12"/>
      <c r="T385" s="12"/>
      <c r="U385" s="12"/>
      <c r="V385" s="12"/>
      <c r="W385" s="471">
        <f>I385</f>
        <v>0</v>
      </c>
      <c r="X385" s="471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</row>
    <row r="386" hidden="1">
      <c r="A386" s="16"/>
      <c r="B386" s="438"/>
      <c r="C386" s="81"/>
      <c r="D386" s="81"/>
      <c r="E386" s="81"/>
      <c r="F386" s="60">
        <v>0.0</v>
      </c>
      <c r="G386" s="60"/>
      <c r="H386" s="439"/>
      <c r="I386" s="81"/>
      <c r="J386" s="81"/>
      <c r="K386" s="83"/>
      <c r="L386" s="16"/>
      <c r="M386" s="16"/>
      <c r="N386" s="16"/>
      <c r="O386" s="12"/>
      <c r="P386" s="12"/>
      <c r="Q386" s="12"/>
      <c r="R386" s="12"/>
      <c r="S386" s="12"/>
      <c r="T386" s="12"/>
      <c r="U386" s="12"/>
      <c r="V386" s="12"/>
      <c r="W386" s="100"/>
      <c r="X386" s="179">
        <f>8212*990/1000000</f>
        <v>8.12988</v>
      </c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</row>
    <row r="387" hidden="1">
      <c r="A387" s="16"/>
      <c r="B387" s="438" t="s">
        <v>91</v>
      </c>
      <c r="C387" s="81"/>
      <c r="D387" s="81" t="s">
        <v>343</v>
      </c>
      <c r="E387" s="81" t="s">
        <v>691</v>
      </c>
      <c r="F387" s="60">
        <v>0.0</v>
      </c>
      <c r="G387" s="60">
        <f>F387*13</f>
        <v>0</v>
      </c>
      <c r="H387" s="439">
        <v>1.0</v>
      </c>
      <c r="I387" s="81">
        <f>G387*H387</f>
        <v>0</v>
      </c>
      <c r="J387" s="81"/>
      <c r="K387" s="83"/>
      <c r="L387" s="16"/>
      <c r="M387" s="16"/>
      <c r="N387" s="16"/>
      <c r="O387" s="12"/>
      <c r="P387" s="12"/>
      <c r="Q387" s="12"/>
      <c r="R387" s="12"/>
      <c r="S387" s="12"/>
      <c r="T387" s="12"/>
      <c r="U387" s="12"/>
      <c r="V387" s="12"/>
      <c r="W387" s="471">
        <f>I387</f>
        <v>0</v>
      </c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</row>
    <row r="388" hidden="1">
      <c r="A388" s="16"/>
      <c r="B388" s="438"/>
      <c r="C388" s="81"/>
      <c r="D388" s="81"/>
      <c r="E388" s="81"/>
      <c r="F388" s="60">
        <v>0.0</v>
      </c>
      <c r="G388" s="60"/>
      <c r="H388" s="439"/>
      <c r="I388" s="81"/>
      <c r="J388" s="532"/>
      <c r="K388" s="11"/>
      <c r="L388" s="16"/>
      <c r="M388" s="16"/>
      <c r="N388" s="16"/>
      <c r="O388" s="12"/>
      <c r="P388" s="12"/>
      <c r="Q388" s="12"/>
      <c r="R388" s="12"/>
      <c r="S388" s="12"/>
      <c r="T388" s="12"/>
      <c r="U388" s="12"/>
      <c r="V388" s="12"/>
      <c r="W388" s="533">
        <f>94*38000*F387*H387/1000000</f>
        <v>0</v>
      </c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</row>
    <row r="389" hidden="1">
      <c r="A389" s="16"/>
      <c r="B389" s="438" t="s">
        <v>91</v>
      </c>
      <c r="C389" s="81"/>
      <c r="D389" s="81" t="s">
        <v>692</v>
      </c>
      <c r="E389" s="81" t="s">
        <v>693</v>
      </c>
      <c r="F389" s="60">
        <v>0.0</v>
      </c>
      <c r="G389" s="60">
        <f>F389*28</f>
        <v>0</v>
      </c>
      <c r="H389" s="439">
        <v>0.9</v>
      </c>
      <c r="I389" s="81">
        <f>G389*H389</f>
        <v>0</v>
      </c>
      <c r="J389" s="81"/>
      <c r="K389" s="83"/>
      <c r="L389" s="16"/>
      <c r="M389" s="16"/>
      <c r="N389" s="16"/>
      <c r="O389" s="12"/>
      <c r="P389" s="12"/>
      <c r="Q389" s="12"/>
      <c r="R389" s="12"/>
      <c r="S389" s="12"/>
      <c r="T389" s="12"/>
      <c r="U389" s="12"/>
      <c r="W389" s="471">
        <f>I389*80%</f>
        <v>0</v>
      </c>
      <c r="X389" s="471"/>
      <c r="Y389" s="471">
        <f>I389*20%</f>
        <v>0</v>
      </c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</row>
    <row r="390" hidden="1">
      <c r="A390" s="16"/>
      <c r="B390" s="534"/>
      <c r="C390" s="73"/>
      <c r="D390" s="73"/>
      <c r="E390" s="73"/>
      <c r="F390" s="60">
        <v>0.0</v>
      </c>
      <c r="G390" s="77"/>
      <c r="H390" s="79"/>
      <c r="I390" s="73"/>
      <c r="J390" s="532"/>
      <c r="K390" s="11"/>
      <c r="L390" s="16"/>
      <c r="M390" s="16"/>
      <c r="N390" s="16"/>
      <c r="O390" s="12"/>
      <c r="P390" s="12"/>
      <c r="Q390" s="12"/>
      <c r="R390" s="12"/>
      <c r="S390" s="12"/>
      <c r="T390" s="12"/>
      <c r="U390" s="12"/>
      <c r="W390" s="535"/>
      <c r="X390" s="535"/>
      <c r="Y390" s="472">
        <f>14169*H389/1000</f>
        <v>12.7521</v>
      </c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</row>
    <row r="391" hidden="1">
      <c r="A391" s="16"/>
      <c r="B391" s="71" t="s">
        <v>91</v>
      </c>
      <c r="C391" s="73"/>
      <c r="D391" s="73" t="s">
        <v>163</v>
      </c>
      <c r="E391" s="73" t="s">
        <v>694</v>
      </c>
      <c r="F391" s="60">
        <v>0.0</v>
      </c>
      <c r="G391" s="77">
        <f>F391*42</f>
        <v>0</v>
      </c>
      <c r="H391" s="79">
        <v>1.0</v>
      </c>
      <c r="I391" s="73">
        <f>G391*H391</f>
        <v>0</v>
      </c>
      <c r="J391" s="81"/>
      <c r="K391" s="83"/>
      <c r="L391" s="16"/>
      <c r="M391" s="16"/>
      <c r="N391" s="16"/>
      <c r="O391" s="12"/>
      <c r="P391" s="12"/>
      <c r="Q391" s="12"/>
      <c r="R391" s="12"/>
      <c r="S391" s="12"/>
      <c r="T391" s="12"/>
      <c r="U391" s="28"/>
      <c r="V391" s="12"/>
      <c r="W391" s="12"/>
      <c r="X391" s="12"/>
      <c r="Y391" s="471">
        <f>I391*20%</f>
        <v>0</v>
      </c>
      <c r="Z391" s="471">
        <f>I391*20%</f>
        <v>0</v>
      </c>
      <c r="AA391" s="471">
        <f>I391*25%</f>
        <v>0</v>
      </c>
      <c r="AB391" s="471">
        <f>I391*35%</f>
        <v>0</v>
      </c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</row>
    <row r="392" hidden="1">
      <c r="A392" s="16"/>
      <c r="B392" s="71"/>
      <c r="C392" s="73"/>
      <c r="D392" s="73"/>
      <c r="E392" s="73"/>
      <c r="F392" s="60">
        <v>0.0</v>
      </c>
      <c r="G392" s="77"/>
      <c r="H392" s="79"/>
      <c r="I392" s="73"/>
      <c r="J392" s="81"/>
      <c r="K392" s="83"/>
      <c r="L392" s="16"/>
      <c r="M392" s="16"/>
      <c r="N392" s="16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00"/>
      <c r="Z392" s="100"/>
      <c r="AA392" s="100">
        <f>F391*H391*15</f>
        <v>0</v>
      </c>
      <c r="AB392" s="100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</row>
    <row r="393" hidden="1">
      <c r="A393" s="16"/>
      <c r="B393" s="536" t="s">
        <v>42</v>
      </c>
      <c r="C393" s="537"/>
      <c r="D393" s="537" t="s">
        <v>193</v>
      </c>
      <c r="E393" s="538" t="s">
        <v>695</v>
      </c>
      <c r="F393" s="539">
        <v>0.0</v>
      </c>
      <c r="G393" s="540">
        <f>F393*35</f>
        <v>0</v>
      </c>
      <c r="H393" s="541">
        <v>1.0</v>
      </c>
      <c r="I393" s="540">
        <f>G393*H393</f>
        <v>0</v>
      </c>
      <c r="J393" s="542" t="s">
        <v>55</v>
      </c>
      <c r="K393" s="11"/>
      <c r="L393" s="16"/>
      <c r="M393" s="16"/>
      <c r="N393" s="16"/>
      <c r="O393" s="12"/>
      <c r="P393" s="12"/>
      <c r="Q393" s="12"/>
      <c r="R393" s="12"/>
      <c r="S393" s="12"/>
      <c r="T393" s="12"/>
      <c r="U393" s="12"/>
      <c r="V393" s="12"/>
      <c r="Y393" s="471">
        <f>F393*I393*30%</f>
        <v>0</v>
      </c>
      <c r="Z393" s="471">
        <f>F393*I393*25%</f>
        <v>0</v>
      </c>
      <c r="AA393" s="471">
        <f>F393*I393*25%</f>
        <v>0</v>
      </c>
      <c r="AB393" s="471">
        <f>F393*I393*20%</f>
        <v>0</v>
      </c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</row>
    <row r="394" hidden="1">
      <c r="A394" s="16"/>
      <c r="B394" s="536"/>
      <c r="C394" s="537"/>
      <c r="D394" s="537"/>
      <c r="E394" s="537"/>
      <c r="F394" s="543">
        <v>0.0</v>
      </c>
      <c r="G394" s="537"/>
      <c r="H394" s="544"/>
      <c r="I394" s="537"/>
      <c r="J394" s="545"/>
      <c r="K394" s="11"/>
      <c r="L394" s="16"/>
      <c r="M394" s="16"/>
      <c r="N394" s="16"/>
      <c r="O394" s="12"/>
      <c r="P394" s="12"/>
      <c r="Q394" s="12"/>
      <c r="R394" s="12"/>
      <c r="S394" s="12"/>
      <c r="T394" s="12"/>
      <c r="U394" s="12"/>
      <c r="V394" s="12"/>
      <c r="Y394" s="535"/>
      <c r="Z394" s="535">
        <f>F393*H393*14</f>
        <v>0</v>
      </c>
      <c r="AA394" s="535">
        <f>F393*H393*2.7</f>
        <v>0</v>
      </c>
      <c r="AB394" s="535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</row>
    <row r="395" hidden="1">
      <c r="A395" s="16"/>
      <c r="B395" s="546" t="s">
        <v>77</v>
      </c>
      <c r="C395" s="446"/>
      <c r="D395" s="446" t="s">
        <v>696</v>
      </c>
      <c r="E395" s="449" t="s">
        <v>697</v>
      </c>
      <c r="F395" s="60">
        <v>0.0</v>
      </c>
      <c r="G395" s="447">
        <f>F395*18</f>
        <v>0</v>
      </c>
      <c r="H395" s="448">
        <v>0.75</v>
      </c>
      <c r="I395" s="449">
        <f>G395*H395</f>
        <v>0</v>
      </c>
      <c r="J395" s="374" t="s">
        <v>55</v>
      </c>
      <c r="K395" s="11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X395" s="445">
        <f>I395*50%</f>
        <v>0</v>
      </c>
      <c r="Y395" s="445"/>
      <c r="Z395" s="445"/>
      <c r="AA395" s="445"/>
      <c r="AB395" s="445">
        <f>I395*50%</f>
        <v>0</v>
      </c>
      <c r="AC395" s="445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</row>
    <row r="396" hidden="1">
      <c r="A396" s="16"/>
      <c r="B396" s="446"/>
      <c r="C396" s="449"/>
      <c r="D396" s="449"/>
      <c r="E396" s="449"/>
      <c r="F396" s="447">
        <v>0.0</v>
      </c>
      <c r="G396" s="447"/>
      <c r="H396" s="448"/>
      <c r="I396" s="449"/>
      <c r="J396" s="374"/>
      <c r="K396" s="11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X396" s="100"/>
      <c r="Y396" s="100"/>
      <c r="Z396" s="100">
        <f>F395*H395*10</f>
        <v>0</v>
      </c>
      <c r="AA396" s="100"/>
      <c r="AB396" s="100"/>
      <c r="AC396" s="100">
        <f>F395*H395*10</f>
        <v>0</v>
      </c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hidden="1">
      <c r="A397" s="547"/>
      <c r="B397" s="536" t="s">
        <v>42</v>
      </c>
      <c r="C397" s="537"/>
      <c r="D397" s="537" t="s">
        <v>193</v>
      </c>
      <c r="E397" s="537" t="s">
        <v>698</v>
      </c>
      <c r="F397" s="539">
        <v>0.0</v>
      </c>
      <c r="G397" s="540">
        <f>F397*15</f>
        <v>0</v>
      </c>
      <c r="H397" s="541">
        <v>0.9</v>
      </c>
      <c r="I397" s="540">
        <f>G397*H397</f>
        <v>0</v>
      </c>
      <c r="J397" s="542" t="s">
        <v>55</v>
      </c>
      <c r="K397" s="548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471">
        <f>I397*40%</f>
        <v>0</v>
      </c>
      <c r="Y397" s="471">
        <f>I397*40%</f>
        <v>0</v>
      </c>
      <c r="Z397" s="471">
        <f>I397*15%</f>
        <v>0</v>
      </c>
      <c r="AA397" s="471">
        <f>I397*15%</f>
        <v>0</v>
      </c>
      <c r="AB397" s="471">
        <f>I397*10%</f>
        <v>0</v>
      </c>
      <c r="AE397" s="547"/>
      <c r="AF397" s="547"/>
      <c r="AG397" s="547"/>
      <c r="AH397" s="547"/>
      <c r="AI397" s="547"/>
      <c r="AJ397" s="547"/>
      <c r="AK397" s="547"/>
      <c r="AL397" s="547"/>
      <c r="AM397" s="547"/>
      <c r="AN397" s="547"/>
      <c r="AO397" s="547"/>
      <c r="AP397" s="547"/>
      <c r="AQ397" s="547"/>
      <c r="AR397" s="547"/>
      <c r="AS397" s="547"/>
    </row>
    <row r="398" hidden="1">
      <c r="A398" s="547"/>
      <c r="B398" s="536"/>
      <c r="C398" s="537"/>
      <c r="D398" s="537"/>
      <c r="E398" s="537"/>
      <c r="F398" s="543">
        <v>0.0</v>
      </c>
      <c r="G398" s="537"/>
      <c r="H398" s="544"/>
      <c r="I398" s="537"/>
      <c r="J398" s="545"/>
      <c r="K398" s="549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35"/>
      <c r="Y398" s="100"/>
      <c r="Z398" s="100"/>
      <c r="AA398" s="100"/>
      <c r="AB398" s="100"/>
      <c r="AE398" s="547"/>
      <c r="AF398" s="547"/>
      <c r="AG398" s="547"/>
      <c r="AH398" s="547"/>
      <c r="AI398" s="547"/>
      <c r="AJ398" s="547"/>
      <c r="AK398" s="547"/>
      <c r="AL398" s="547"/>
      <c r="AM398" s="547"/>
      <c r="AN398" s="547"/>
      <c r="AO398" s="547"/>
      <c r="AP398" s="547"/>
      <c r="AQ398" s="547"/>
      <c r="AR398" s="547"/>
      <c r="AS398" s="547"/>
    </row>
    <row r="399" hidden="1">
      <c r="A399" s="16"/>
      <c r="B399" s="103" t="s">
        <v>103</v>
      </c>
      <c r="C399" s="104"/>
      <c r="D399" s="104" t="s">
        <v>699</v>
      </c>
      <c r="E399" s="104" t="s">
        <v>700</v>
      </c>
      <c r="F399" s="60">
        <v>0.0</v>
      </c>
      <c r="G399" s="105">
        <f>F399*30</f>
        <v>0</v>
      </c>
      <c r="H399" s="106">
        <v>0.25</v>
      </c>
      <c r="I399" s="104">
        <f>G399*H399</f>
        <v>0</v>
      </c>
      <c r="J399" s="374" t="s">
        <v>310</v>
      </c>
      <c r="K399" s="11" t="s">
        <v>75</v>
      </c>
      <c r="L399" s="16"/>
      <c r="M399" s="16"/>
      <c r="N399" s="16"/>
      <c r="O399" s="12"/>
      <c r="P399" s="12"/>
      <c r="Q399" s="12"/>
      <c r="R399" s="12"/>
      <c r="S399" s="12"/>
      <c r="T399" s="12"/>
      <c r="U399" s="12"/>
      <c r="V399" s="12"/>
      <c r="W399" s="12"/>
      <c r="AA399" s="471">
        <f>F399*I399*30%</f>
        <v>0</v>
      </c>
      <c r="AB399" s="471">
        <f>F399*I399*25%</f>
        <v>0</v>
      </c>
      <c r="AC399" s="471">
        <f>F399*I399*25%</f>
        <v>0</v>
      </c>
      <c r="AD399" s="471">
        <f>F399*I399*20%</f>
        <v>0</v>
      </c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</row>
    <row r="400" hidden="1">
      <c r="A400" s="16"/>
      <c r="B400" s="103"/>
      <c r="C400" s="104"/>
      <c r="D400" s="104"/>
      <c r="E400" s="104"/>
      <c r="F400" s="60">
        <v>0.0</v>
      </c>
      <c r="G400" s="105"/>
      <c r="H400" s="106"/>
      <c r="I400" s="104"/>
      <c r="J400" s="374"/>
      <c r="K400" s="11"/>
      <c r="L400" s="16"/>
      <c r="M400" s="16"/>
      <c r="N400" s="16"/>
      <c r="O400" s="12"/>
      <c r="P400" s="12"/>
      <c r="Q400" s="12"/>
      <c r="R400" s="12"/>
      <c r="S400" s="12"/>
      <c r="T400" s="12"/>
      <c r="U400" s="12"/>
      <c r="V400" s="12"/>
      <c r="W400" s="12"/>
      <c r="AA400" s="535"/>
      <c r="AB400" s="535">
        <f>F399*H399*14</f>
        <v>0</v>
      </c>
      <c r="AC400" s="535">
        <f>F399*H399*2.7</f>
        <v>0</v>
      </c>
      <c r="AD400" s="535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</row>
    <row r="401" hidden="1">
      <c r="A401" s="547"/>
      <c r="B401" s="550" t="s">
        <v>37</v>
      </c>
      <c r="C401" s="551"/>
      <c r="D401" s="551" t="s">
        <v>163</v>
      </c>
      <c r="E401" s="551" t="s">
        <v>701</v>
      </c>
      <c r="F401" s="552">
        <v>0.0</v>
      </c>
      <c r="G401" s="553">
        <f>F401*20</f>
        <v>0</v>
      </c>
      <c r="H401" s="554">
        <v>0.3</v>
      </c>
      <c r="I401" s="553">
        <f>G401*H401</f>
        <v>0</v>
      </c>
      <c r="J401" s="555"/>
      <c r="K401" s="556" t="s">
        <v>702</v>
      </c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57"/>
      <c r="Y401" s="557"/>
      <c r="Z401" s="557"/>
      <c r="AA401" s="547"/>
      <c r="AB401" s="547"/>
      <c r="AC401" s="547"/>
      <c r="AD401" s="547"/>
      <c r="AE401" s="547"/>
      <c r="AF401" s="547"/>
      <c r="AG401" s="547"/>
      <c r="AH401" s="547"/>
      <c r="AI401" s="547"/>
      <c r="AJ401" s="547"/>
      <c r="AK401" s="547"/>
      <c r="AL401" s="547"/>
      <c r="AM401" s="547"/>
      <c r="AN401" s="547"/>
      <c r="AO401" s="547"/>
      <c r="AP401" s="547"/>
      <c r="AQ401" s="547"/>
      <c r="AR401" s="547"/>
      <c r="AS401" s="547"/>
    </row>
    <row r="402" hidden="1">
      <c r="A402" s="547"/>
      <c r="B402" s="550"/>
      <c r="C402" s="551"/>
      <c r="D402" s="551"/>
      <c r="E402" s="551"/>
      <c r="F402" s="558">
        <v>0.0</v>
      </c>
      <c r="G402" s="559"/>
      <c r="H402" s="560"/>
      <c r="I402" s="559"/>
      <c r="J402" s="555"/>
      <c r="K402" s="556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57"/>
      <c r="Y402" s="557"/>
      <c r="Z402" s="557"/>
      <c r="AA402" s="547"/>
      <c r="AB402" s="547"/>
      <c r="AC402" s="547"/>
      <c r="AD402" s="547"/>
      <c r="AE402" s="547"/>
      <c r="AF402" s="547"/>
      <c r="AG402" s="547"/>
      <c r="AH402" s="547"/>
      <c r="AI402" s="547"/>
      <c r="AJ402" s="547"/>
      <c r="AK402" s="547"/>
      <c r="AL402" s="547"/>
      <c r="AM402" s="547"/>
      <c r="AN402" s="547"/>
      <c r="AO402" s="547"/>
      <c r="AP402" s="547"/>
      <c r="AQ402" s="547"/>
      <c r="AR402" s="547"/>
      <c r="AS402" s="547"/>
    </row>
    <row r="403" hidden="1">
      <c r="A403" s="16"/>
      <c r="B403" s="561" t="s">
        <v>77</v>
      </c>
      <c r="C403" s="170"/>
      <c r="D403" s="170" t="s">
        <v>247</v>
      </c>
      <c r="E403" s="170" t="s">
        <v>703</v>
      </c>
      <c r="F403" s="462">
        <v>0.0</v>
      </c>
      <c r="G403" s="172">
        <f>F403*10</f>
        <v>0</v>
      </c>
      <c r="H403" s="173">
        <v>0.3</v>
      </c>
      <c r="I403" s="170">
        <f>G403*H403</f>
        <v>0</v>
      </c>
      <c r="J403" s="338" t="s">
        <v>80</v>
      </c>
      <c r="K403" s="11" t="s">
        <v>75</v>
      </c>
      <c r="L403" s="16"/>
      <c r="M403" s="16"/>
      <c r="N403" s="16"/>
      <c r="O403" s="12"/>
      <c r="P403" s="12"/>
      <c r="Q403" s="12"/>
      <c r="R403" s="12"/>
      <c r="S403" s="12"/>
      <c r="T403" s="12"/>
      <c r="U403" s="12"/>
      <c r="V403" s="12"/>
      <c r="W403" s="12"/>
      <c r="Z403" s="471">
        <f>I403</f>
        <v>0</v>
      </c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</row>
    <row r="404" hidden="1">
      <c r="A404" s="16"/>
      <c r="B404" s="169"/>
      <c r="C404" s="170"/>
      <c r="D404" s="170"/>
      <c r="E404" s="170"/>
      <c r="F404" s="463">
        <v>0.0</v>
      </c>
      <c r="G404" s="172"/>
      <c r="H404" s="173"/>
      <c r="I404" s="170"/>
      <c r="J404" s="338"/>
      <c r="K404" s="11"/>
      <c r="L404" s="16"/>
      <c r="M404" s="16"/>
      <c r="N404" s="16"/>
      <c r="O404" s="12"/>
      <c r="P404" s="12"/>
      <c r="Q404" s="12"/>
      <c r="R404" s="12"/>
      <c r="S404" s="12"/>
      <c r="T404" s="12"/>
      <c r="U404" s="12"/>
      <c r="V404" s="12"/>
      <c r="W404" s="12"/>
      <c r="Z404" s="535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</row>
    <row r="405" hidden="1">
      <c r="A405" s="16"/>
      <c r="B405" s="482" t="s">
        <v>103</v>
      </c>
      <c r="C405" s="562"/>
      <c r="D405" s="562" t="s">
        <v>71</v>
      </c>
      <c r="E405" s="562" t="s">
        <v>704</v>
      </c>
      <c r="F405" s="462">
        <v>0.0</v>
      </c>
      <c r="G405" s="563">
        <f>F405*9</f>
        <v>0</v>
      </c>
      <c r="H405" s="564">
        <v>0.9</v>
      </c>
      <c r="I405" s="562">
        <f>G405*H405</f>
        <v>0</v>
      </c>
      <c r="J405" s="338" t="s">
        <v>55</v>
      </c>
      <c r="K405" s="11"/>
      <c r="L405" s="16"/>
      <c r="M405" s="16"/>
      <c r="N405" s="16"/>
      <c r="O405" s="12"/>
      <c r="P405" s="12"/>
      <c r="Q405" s="12"/>
      <c r="R405" s="12"/>
      <c r="S405" s="12"/>
      <c r="T405" s="12"/>
      <c r="U405" s="12"/>
      <c r="V405" s="12"/>
      <c r="W405" s="12"/>
      <c r="Z405" s="471">
        <f>I405*80%</f>
        <v>0</v>
      </c>
      <c r="AA405" s="471"/>
      <c r="AB405" s="471">
        <f>I405*20%</f>
        <v>0</v>
      </c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</row>
    <row r="406" hidden="1">
      <c r="A406" s="16"/>
      <c r="B406" s="248"/>
      <c r="C406" s="170"/>
      <c r="D406" s="170"/>
      <c r="E406" s="170"/>
      <c r="F406" s="178">
        <v>0.0</v>
      </c>
      <c r="G406" s="172"/>
      <c r="H406" s="173"/>
      <c r="I406" s="170"/>
      <c r="J406" s="338"/>
      <c r="K406" s="11"/>
      <c r="L406" s="16"/>
      <c r="M406" s="16"/>
      <c r="N406" s="16"/>
      <c r="O406" s="12"/>
      <c r="P406" s="12"/>
      <c r="Q406" s="12"/>
      <c r="R406" s="12"/>
      <c r="S406" s="12"/>
      <c r="T406" s="12"/>
      <c r="U406" s="12"/>
      <c r="V406" s="12"/>
      <c r="W406" s="12"/>
      <c r="Z406" s="535"/>
      <c r="AA406" s="100"/>
      <c r="AB406" s="47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</row>
    <row r="407">
      <c r="A407" s="197"/>
      <c r="B407" s="198" t="s">
        <v>40</v>
      </c>
      <c r="C407" s="199"/>
      <c r="D407" s="199"/>
      <c r="E407" s="199"/>
      <c r="F407" s="565">
        <v>1.0</v>
      </c>
      <c r="G407" s="199"/>
      <c r="H407" s="199"/>
      <c r="I407" s="199"/>
      <c r="J407" s="201"/>
      <c r="K407" s="197"/>
      <c r="L407" s="197"/>
      <c r="M407" s="197"/>
      <c r="N407" s="197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K407" s="202"/>
      <c r="AL407" s="202"/>
      <c r="AM407" s="12"/>
      <c r="AN407" s="12"/>
      <c r="AO407" s="12"/>
      <c r="AP407" s="12"/>
      <c r="AQ407" s="12"/>
      <c r="AR407" s="12"/>
      <c r="AS407" s="12"/>
    </row>
    <row r="408" hidden="1">
      <c r="A408" s="16"/>
      <c r="B408" s="419" t="s">
        <v>121</v>
      </c>
      <c r="C408" s="562"/>
      <c r="D408" s="562" t="s">
        <v>273</v>
      </c>
      <c r="E408" s="562" t="s">
        <v>705</v>
      </c>
      <c r="F408" s="462">
        <v>0.0</v>
      </c>
      <c r="G408" s="566">
        <f>F408*66</f>
        <v>0</v>
      </c>
      <c r="H408" s="564">
        <v>1.0</v>
      </c>
      <c r="I408" s="567">
        <f>G408*H408</f>
        <v>0</v>
      </c>
      <c r="J408" s="338" t="s">
        <v>55</v>
      </c>
      <c r="K408" s="11"/>
      <c r="L408" s="16"/>
      <c r="M408" s="16"/>
      <c r="N408" s="16"/>
      <c r="O408" s="12"/>
      <c r="P408" s="12"/>
      <c r="Q408" s="12"/>
      <c r="R408" s="12"/>
      <c r="S408" s="12"/>
      <c r="T408" s="12"/>
      <c r="U408" s="28"/>
      <c r="V408" s="12"/>
      <c r="W408" s="12"/>
      <c r="X408" s="12"/>
      <c r="AB408" s="471">
        <f>I408*60%*10%</f>
        <v>0</v>
      </c>
      <c r="AC408" s="471">
        <f>I408*60%*15%</f>
        <v>0</v>
      </c>
      <c r="AD408" s="471">
        <f>I408*60%*15%+I408*40%*50%</f>
        <v>0</v>
      </c>
      <c r="AE408" s="471">
        <f>I408*60%*20%</f>
        <v>0</v>
      </c>
      <c r="AF408" s="471">
        <f>I408*60%*20%+I408*40%*50%</f>
        <v>0</v>
      </c>
      <c r="AG408" s="471">
        <f>I408*60%*20%</f>
        <v>0</v>
      </c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</row>
    <row r="409" hidden="1">
      <c r="A409" s="16"/>
      <c r="B409" s="248"/>
      <c r="C409" s="170"/>
      <c r="D409" s="170"/>
      <c r="E409" s="170"/>
      <c r="F409" s="178">
        <v>0.0</v>
      </c>
      <c r="G409" s="205"/>
      <c r="H409" s="173"/>
      <c r="I409" s="207"/>
      <c r="J409" s="338"/>
      <c r="K409" s="11"/>
      <c r="L409" s="16"/>
      <c r="M409" s="16"/>
      <c r="N409" s="16"/>
      <c r="O409" s="12"/>
      <c r="P409" s="12"/>
      <c r="Q409" s="12"/>
      <c r="R409" s="12"/>
      <c r="S409" s="12"/>
      <c r="T409" s="12"/>
      <c r="U409" s="28"/>
      <c r="V409" s="12"/>
      <c r="W409" s="12"/>
      <c r="X409" s="12"/>
      <c r="AB409" s="525"/>
      <c r="AC409" s="525">
        <f>F408*H408*0.8</f>
        <v>0</v>
      </c>
      <c r="AD409" s="525"/>
      <c r="AE409" s="525">
        <f>F408*H408*3.9</f>
        <v>0</v>
      </c>
      <c r="AF409" s="525">
        <f>F408*H408*19.7</f>
        <v>0</v>
      </c>
      <c r="AG409" s="525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</row>
    <row r="410" hidden="1">
      <c r="A410" s="16"/>
      <c r="B410" s="568" t="s">
        <v>354</v>
      </c>
      <c r="C410" s="221"/>
      <c r="D410" s="221" t="s">
        <v>699</v>
      </c>
      <c r="E410" s="221" t="s">
        <v>706</v>
      </c>
      <c r="F410" s="222">
        <v>0.0</v>
      </c>
      <c r="G410" s="223">
        <f>F410*30</f>
        <v>0</v>
      </c>
      <c r="H410" s="224">
        <v>0.6</v>
      </c>
      <c r="I410" s="225">
        <f>G410*H410</f>
        <v>0</v>
      </c>
      <c r="J410" s="569" t="s">
        <v>55</v>
      </c>
      <c r="K410" s="11"/>
      <c r="L410" s="16"/>
      <c r="M410" s="16"/>
      <c r="N410" s="16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AB410" s="570">
        <f>I410*20%</f>
        <v>0</v>
      </c>
      <c r="AC410" s="570">
        <f>I410*20%</f>
        <v>0</v>
      </c>
      <c r="AD410" s="570">
        <f>I410*20%</f>
        <v>0</v>
      </c>
      <c r="AE410" s="570">
        <f>I410*20%</f>
        <v>0</v>
      </c>
      <c r="AF410" s="570">
        <f>I410*20%</f>
        <v>0</v>
      </c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</row>
    <row r="411" hidden="1">
      <c r="A411" s="16"/>
      <c r="B411" s="220"/>
      <c r="C411" s="221"/>
      <c r="D411" s="221"/>
      <c r="E411" s="221"/>
      <c r="F411" s="252">
        <v>0.0</v>
      </c>
      <c r="G411" s="223"/>
      <c r="H411" s="224"/>
      <c r="I411" s="225"/>
      <c r="J411" s="569"/>
      <c r="K411" s="11"/>
      <c r="L411" s="16"/>
      <c r="M411" s="16"/>
      <c r="N411" s="16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AB411" s="113"/>
      <c r="AC411" s="113">
        <f>F410*H410*12</f>
        <v>0</v>
      </c>
      <c r="AD411" s="113">
        <f>F410*H410*11</f>
        <v>0</v>
      </c>
      <c r="AE411" s="113">
        <f>F410*H410*11</f>
        <v>0</v>
      </c>
      <c r="AF411" s="100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</row>
    <row r="412" hidden="1">
      <c r="A412" s="16"/>
      <c r="B412" s="213" t="s">
        <v>127</v>
      </c>
      <c r="C412" s="170"/>
      <c r="D412" s="170" t="s">
        <v>247</v>
      </c>
      <c r="E412" s="170" t="s">
        <v>707</v>
      </c>
      <c r="F412" s="462">
        <v>0.0</v>
      </c>
      <c r="G412" s="205">
        <f>F412*80</f>
        <v>0</v>
      </c>
      <c r="H412" s="173">
        <v>0.9</v>
      </c>
      <c r="I412" s="207">
        <f>G412*H412</f>
        <v>0</v>
      </c>
      <c r="J412" s="338" t="s">
        <v>55</v>
      </c>
      <c r="K412" s="11" t="s">
        <v>708</v>
      </c>
      <c r="L412" s="16"/>
      <c r="M412" s="16"/>
      <c r="N412" s="16"/>
      <c r="O412" s="12"/>
      <c r="P412" s="12"/>
      <c r="Q412" s="12"/>
      <c r="R412" s="12"/>
      <c r="S412" s="12"/>
      <c r="T412" s="12"/>
      <c r="U412" s="28"/>
      <c r="V412" s="12"/>
      <c r="W412" s="12"/>
      <c r="X412" s="12"/>
      <c r="AB412" s="571">
        <f>F412*I412*20%</f>
        <v>0</v>
      </c>
      <c r="AC412" s="571">
        <f>F412*I412*20%</f>
        <v>0</v>
      </c>
      <c r="AD412" s="571">
        <f>F412*I412*20%</f>
        <v>0</v>
      </c>
      <c r="AE412" s="471">
        <f>F412*I412*20%</f>
        <v>0</v>
      </c>
      <c r="AF412" s="471">
        <f>F412*I412*20%</f>
        <v>0</v>
      </c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</row>
    <row r="413" hidden="1">
      <c r="A413" s="16"/>
      <c r="B413" s="169"/>
      <c r="C413" s="170"/>
      <c r="D413" s="170"/>
      <c r="E413" s="170"/>
      <c r="F413" s="178">
        <v>0.0</v>
      </c>
      <c r="G413" s="205"/>
      <c r="H413" s="173"/>
      <c r="I413" s="207"/>
      <c r="J413" s="338"/>
      <c r="K413" s="11"/>
      <c r="L413" s="16"/>
      <c r="M413" s="16"/>
      <c r="N413" s="16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AB413" s="535"/>
      <c r="AC413" s="100"/>
      <c r="AD413" s="472">
        <f>F412*H412*1.5</f>
        <v>0</v>
      </c>
      <c r="AE413" s="535">
        <f>F412*H412*4</f>
        <v>0</v>
      </c>
      <c r="AF413" s="100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</row>
    <row r="414" hidden="1">
      <c r="A414" s="16"/>
      <c r="B414" s="568" t="s">
        <v>354</v>
      </c>
      <c r="C414" s="221"/>
      <c r="D414" s="221" t="s">
        <v>247</v>
      </c>
      <c r="E414" s="221" t="s">
        <v>709</v>
      </c>
      <c r="F414" s="222">
        <v>0.0</v>
      </c>
      <c r="G414" s="223">
        <f>F414*50</f>
        <v>0</v>
      </c>
      <c r="H414" s="224">
        <v>0.6</v>
      </c>
      <c r="I414" s="225">
        <f>G414*H414</f>
        <v>0</v>
      </c>
      <c r="J414" s="569" t="s">
        <v>310</v>
      </c>
      <c r="K414" s="11" t="s">
        <v>75</v>
      </c>
      <c r="L414" s="16"/>
      <c r="M414" s="16"/>
      <c r="N414" s="16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AB414" s="471">
        <f>F414*I414*20%</f>
        <v>0</v>
      </c>
      <c r="AC414" s="471">
        <f>F414*I414*20%</f>
        <v>0</v>
      </c>
      <c r="AD414" s="471">
        <f>F414*I414*20%</f>
        <v>0</v>
      </c>
      <c r="AE414" s="471">
        <f>F414*I414*20%</f>
        <v>0</v>
      </c>
      <c r="AF414" s="471">
        <f>F414*I414*20%</f>
        <v>0</v>
      </c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hidden="1">
      <c r="A415" s="16"/>
      <c r="B415" s="220"/>
      <c r="C415" s="221"/>
      <c r="D415" s="221"/>
      <c r="E415" s="221"/>
      <c r="F415" s="222">
        <v>0.0</v>
      </c>
      <c r="G415" s="223"/>
      <c r="H415" s="224"/>
      <c r="I415" s="225"/>
      <c r="J415" s="569"/>
      <c r="K415" s="11"/>
      <c r="L415" s="16"/>
      <c r="M415" s="16"/>
      <c r="N415" s="16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AB415" s="535"/>
      <c r="AC415" s="100"/>
      <c r="AD415" s="472">
        <f>F414*H414*1.5</f>
        <v>0</v>
      </c>
      <c r="AE415" s="535">
        <f>F414*H414*4</f>
        <v>0</v>
      </c>
      <c r="AF415" s="100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</row>
    <row r="416" hidden="1">
      <c r="A416" s="16"/>
      <c r="B416" s="446" t="s">
        <v>121</v>
      </c>
      <c r="C416" s="104"/>
      <c r="D416" s="104" t="s">
        <v>247</v>
      </c>
      <c r="E416" s="104" t="s">
        <v>710</v>
      </c>
      <c r="F416" s="60">
        <v>0.0</v>
      </c>
      <c r="G416" s="227">
        <f>F416*19</f>
        <v>0</v>
      </c>
      <c r="H416" s="106">
        <v>0.9</v>
      </c>
      <c r="I416" s="228">
        <f>G416*H416</f>
        <v>0</v>
      </c>
      <c r="J416" s="572" t="s">
        <v>55</v>
      </c>
      <c r="K416" s="11"/>
      <c r="L416" s="16"/>
      <c r="M416" s="16"/>
      <c r="N416" s="16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570">
        <f>I416*50%</f>
        <v>0</v>
      </c>
      <c r="AF416" s="570">
        <f>I416*50%</f>
        <v>0</v>
      </c>
      <c r="AG416" s="12"/>
      <c r="AH416" s="12"/>
      <c r="AI416" s="12"/>
      <c r="AJ416" s="12"/>
    </row>
    <row r="417" hidden="1">
      <c r="A417" s="16"/>
      <c r="B417" s="103"/>
      <c r="C417" s="104"/>
      <c r="D417" s="104"/>
      <c r="E417" s="104"/>
      <c r="F417" s="60">
        <v>0.0</v>
      </c>
      <c r="G417" s="227"/>
      <c r="H417" s="106"/>
      <c r="I417" s="228"/>
      <c r="J417" s="572"/>
      <c r="K417" s="11"/>
      <c r="L417" s="16"/>
      <c r="M417" s="16"/>
      <c r="N417" s="16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573"/>
      <c r="AF417" s="573"/>
      <c r="AG417" s="12"/>
      <c r="AH417" s="12"/>
      <c r="AI417" s="12"/>
      <c r="AJ417" s="12"/>
    </row>
    <row r="418" hidden="1">
      <c r="A418" s="16"/>
      <c r="B418" s="103" t="s">
        <v>103</v>
      </c>
      <c r="C418" s="104"/>
      <c r="D418" s="104" t="s">
        <v>699</v>
      </c>
      <c r="E418" s="104" t="s">
        <v>711</v>
      </c>
      <c r="F418" s="60">
        <v>0.0</v>
      </c>
      <c r="G418" s="105">
        <f>F418*6</f>
        <v>0</v>
      </c>
      <c r="H418" s="106">
        <v>1.0</v>
      </c>
      <c r="I418" s="104">
        <f>G418*H418</f>
        <v>0</v>
      </c>
      <c r="J418" s="374" t="s">
        <v>55</v>
      </c>
      <c r="K418" s="11" t="s">
        <v>75</v>
      </c>
      <c r="L418" s="16"/>
      <c r="M418" s="16"/>
      <c r="N418" s="16"/>
      <c r="O418" s="12"/>
      <c r="P418" s="12"/>
      <c r="Q418" s="12"/>
      <c r="R418" s="12"/>
      <c r="S418" s="12"/>
      <c r="T418" s="12"/>
      <c r="U418" s="12"/>
      <c r="V418" s="12"/>
      <c r="W418" s="12"/>
      <c r="AB418" s="471">
        <f>F418*I418*30%</f>
        <v>0</v>
      </c>
      <c r="AC418" s="471">
        <f>F418*I418*25%</f>
        <v>0</v>
      </c>
      <c r="AD418" s="471">
        <f>F418*I418*25%</f>
        <v>0</v>
      </c>
      <c r="AE418" s="471">
        <f>F418*I418*20%</f>
        <v>0</v>
      </c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</row>
    <row r="419" hidden="1">
      <c r="A419" s="16"/>
      <c r="B419" s="103"/>
      <c r="C419" s="104"/>
      <c r="D419" s="104"/>
      <c r="E419" s="104"/>
      <c r="F419" s="75">
        <v>0.0</v>
      </c>
      <c r="G419" s="105"/>
      <c r="H419" s="106"/>
      <c r="I419" s="104"/>
      <c r="J419" s="374"/>
      <c r="K419" s="11"/>
      <c r="L419" s="16"/>
      <c r="M419" s="16"/>
      <c r="N419" s="16"/>
      <c r="O419" s="12"/>
      <c r="P419" s="12"/>
      <c r="Q419" s="12"/>
      <c r="R419" s="12"/>
      <c r="S419" s="12"/>
      <c r="T419" s="12"/>
      <c r="U419" s="12"/>
      <c r="V419" s="12"/>
      <c r="W419" s="12"/>
      <c r="AB419" s="535"/>
      <c r="AC419" s="535">
        <f>F418*H418*14</f>
        <v>0</v>
      </c>
      <c r="AD419" s="535">
        <f>F418*H418*2.7</f>
        <v>0</v>
      </c>
      <c r="AE419" s="535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</row>
    <row r="420" hidden="1">
      <c r="A420" s="16"/>
      <c r="B420" s="474" t="s">
        <v>127</v>
      </c>
      <c r="C420" s="209"/>
      <c r="D420" s="209" t="s">
        <v>712</v>
      </c>
      <c r="E420" s="209" t="s">
        <v>713</v>
      </c>
      <c r="F420" s="462">
        <v>0.0</v>
      </c>
      <c r="G420" s="420">
        <f>F420*15</f>
        <v>0</v>
      </c>
      <c r="H420" s="421">
        <v>0.35</v>
      </c>
      <c r="I420" s="385">
        <f>G420*H420</f>
        <v>0</v>
      </c>
      <c r="J420" s="338" t="s">
        <v>80</v>
      </c>
      <c r="K420" s="11"/>
      <c r="L420" s="16"/>
      <c r="M420" s="16"/>
      <c r="N420" s="16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AB420" s="471">
        <f>I420</f>
        <v>0</v>
      </c>
      <c r="AC420" s="471"/>
      <c r="AD420" s="12"/>
      <c r="AE420" s="12"/>
      <c r="AF420" s="12"/>
      <c r="AG420" s="12"/>
      <c r="AH420" s="12"/>
    </row>
    <row r="421" hidden="1">
      <c r="A421" s="16"/>
      <c r="B421" s="248"/>
      <c r="C421" s="170"/>
      <c r="D421" s="170"/>
      <c r="E421" s="170"/>
      <c r="F421" s="178">
        <v>0.0</v>
      </c>
      <c r="G421" s="205"/>
      <c r="H421" s="173"/>
      <c r="I421" s="207"/>
      <c r="J421" s="159"/>
      <c r="K421" s="11"/>
      <c r="L421" s="16"/>
      <c r="M421" s="16"/>
      <c r="N421" s="16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AB421" s="472"/>
      <c r="AC421" s="472">
        <f>F420*H420*3.6</f>
        <v>0</v>
      </c>
      <c r="AD421" s="12"/>
      <c r="AE421" s="12"/>
      <c r="AF421" s="12"/>
      <c r="AG421" s="12"/>
      <c r="AH421" s="12"/>
    </row>
    <row r="422" hidden="1">
      <c r="A422" s="16"/>
      <c r="B422" s="419">
        <v>2026.0</v>
      </c>
      <c r="C422" s="209"/>
      <c r="D422" s="209" t="s">
        <v>714</v>
      </c>
      <c r="E422" s="209" t="s">
        <v>274</v>
      </c>
      <c r="F422" s="462">
        <v>0.0</v>
      </c>
      <c r="G422" s="420">
        <f>F422*88</f>
        <v>0</v>
      </c>
      <c r="H422" s="421">
        <v>0.5</v>
      </c>
      <c r="I422" s="385">
        <f>G422*H422</f>
        <v>0</v>
      </c>
      <c r="J422" s="161" t="s">
        <v>80</v>
      </c>
      <c r="K422" s="574"/>
      <c r="L422" s="16"/>
      <c r="M422" s="16"/>
      <c r="N422" s="16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C422" s="471">
        <f>I422*20%*33%+I422*20%*67%</f>
        <v>0</v>
      </c>
      <c r="AD422" s="471">
        <f>I422*20%*33%</f>
        <v>0</v>
      </c>
      <c r="AE422" s="471">
        <f>I422*25%*20%</f>
        <v>0</v>
      </c>
      <c r="AG422" s="471">
        <f>I422*80%*67%</f>
        <v>0</v>
      </c>
      <c r="AH422" s="471">
        <f>I422*35%*33%</f>
        <v>0</v>
      </c>
    </row>
    <row r="423" hidden="1">
      <c r="A423" s="16"/>
      <c r="B423" s="248"/>
      <c r="C423" s="170"/>
      <c r="D423" s="170"/>
      <c r="E423" s="170"/>
      <c r="F423" s="473">
        <v>0.0</v>
      </c>
      <c r="G423" s="575"/>
      <c r="H423" s="310"/>
      <c r="I423" s="576"/>
      <c r="J423" s="168"/>
      <c r="K423" s="11"/>
      <c r="L423" s="16"/>
      <c r="M423" s="16"/>
      <c r="N423" s="16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C423" s="535"/>
      <c r="AD423" s="535"/>
      <c r="AE423" s="535">
        <f>F422*H422*3</f>
        <v>0</v>
      </c>
      <c r="AG423" s="535">
        <f>F422*H422*4</f>
        <v>0</v>
      </c>
      <c r="AH423" s="535">
        <f>F422*H422*37</f>
        <v>0</v>
      </c>
    </row>
    <row r="424" hidden="1">
      <c r="A424" s="16"/>
      <c r="B424" s="419" t="s">
        <v>121</v>
      </c>
      <c r="C424" s="209"/>
      <c r="D424" s="209" t="s">
        <v>715</v>
      </c>
      <c r="E424" s="209" t="s">
        <v>716</v>
      </c>
      <c r="F424" s="462">
        <v>0.0</v>
      </c>
      <c r="G424" s="420">
        <f>F424*110</f>
        <v>0</v>
      </c>
      <c r="H424" s="421">
        <v>0.15</v>
      </c>
      <c r="I424" s="385">
        <f>G424*H424</f>
        <v>0</v>
      </c>
      <c r="J424" s="159" t="s">
        <v>15</v>
      </c>
      <c r="K424" s="11" t="s">
        <v>642</v>
      </c>
      <c r="L424" s="16"/>
      <c r="M424" s="16"/>
      <c r="N424" s="16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AC424" s="469">
        <f>F424*I424*20%</f>
        <v>0</v>
      </c>
      <c r="AD424" s="469">
        <f>F424*I424*20%</f>
        <v>0</v>
      </c>
      <c r="AE424" s="577"/>
      <c r="AF424" s="469">
        <f>F424*I424*20%</f>
        <v>0</v>
      </c>
      <c r="AG424" s="469">
        <f>F424*I424*20%</f>
        <v>0</v>
      </c>
      <c r="AH424" s="469">
        <f>F424*I424*20%</f>
        <v>0</v>
      </c>
      <c r="AI424" s="578"/>
      <c r="AJ424" s="578"/>
      <c r="AK424" s="12"/>
      <c r="AL424" s="12"/>
      <c r="AM424" s="12"/>
      <c r="AN424" s="12"/>
      <c r="AO424" s="12"/>
      <c r="AP424" s="12"/>
      <c r="AQ424" s="12"/>
      <c r="AR424" s="12"/>
      <c r="AS424" s="12"/>
    </row>
    <row r="425" hidden="1">
      <c r="A425" s="16"/>
      <c r="B425" s="248"/>
      <c r="C425" s="170"/>
      <c r="D425" s="170"/>
      <c r="E425" s="170"/>
      <c r="F425" s="473">
        <v>0.0</v>
      </c>
      <c r="G425" s="575"/>
      <c r="H425" s="310"/>
      <c r="I425" s="576"/>
      <c r="J425" s="338"/>
      <c r="K425" s="11"/>
      <c r="L425" s="16"/>
      <c r="M425" s="16"/>
      <c r="N425" s="16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AC425" s="477"/>
      <c r="AD425" s="386"/>
      <c r="AE425" s="577"/>
      <c r="AF425" s="398">
        <f>F424*H424*1.5</f>
        <v>0</v>
      </c>
      <c r="AG425" s="477">
        <f>F424*H424*4</f>
        <v>0</v>
      </c>
      <c r="AH425" s="386"/>
      <c r="AI425" s="578"/>
      <c r="AJ425" s="578"/>
      <c r="AK425" s="12"/>
      <c r="AL425" s="12"/>
      <c r="AM425" s="12"/>
      <c r="AN425" s="12"/>
      <c r="AO425" s="12"/>
      <c r="AP425" s="12"/>
      <c r="AQ425" s="12"/>
      <c r="AR425" s="12"/>
      <c r="AS425" s="12"/>
    </row>
    <row r="426" hidden="1">
      <c r="A426" s="16"/>
      <c r="B426" s="103" t="s">
        <v>452</v>
      </c>
      <c r="C426" s="170">
        <v>25.0</v>
      </c>
      <c r="D426" s="170" t="s">
        <v>193</v>
      </c>
      <c r="E426" s="170" t="s">
        <v>717</v>
      </c>
      <c r="F426" s="462">
        <v>0.0</v>
      </c>
      <c r="G426" s="205">
        <f>F426*7</f>
        <v>0</v>
      </c>
      <c r="H426" s="173">
        <v>1.0</v>
      </c>
      <c r="I426" s="207">
        <f>G426*H426</f>
        <v>0</v>
      </c>
      <c r="J426" s="159" t="s">
        <v>55</v>
      </c>
      <c r="K426" s="11"/>
      <c r="L426" s="16"/>
      <c r="M426" s="16"/>
      <c r="N426" s="16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AE426" s="469">
        <f>F426*I426*20%*20%+F426*I426*20%*80%</f>
        <v>0</v>
      </c>
      <c r="AF426" s="469">
        <f>F426*I426*20%*20%</f>
        <v>0</v>
      </c>
      <c r="AG426" s="469">
        <f>F426*I426*20%*20%</f>
        <v>0</v>
      </c>
      <c r="AH426" s="469"/>
      <c r="AI426" s="469">
        <f>F426*I426*15%*20%+F426*I426*50%*80%</f>
        <v>0</v>
      </c>
      <c r="AJ426" s="469">
        <f>F426*I426*15%*20%</f>
        <v>0</v>
      </c>
      <c r="AK426" s="469">
        <f>F426*I426*10%*20%+F426*I426*30%*80%</f>
        <v>0</v>
      </c>
      <c r="AL426" s="579"/>
      <c r="AM426" s="577"/>
      <c r="AN426" s="577"/>
      <c r="AO426" s="577"/>
    </row>
    <row r="427" hidden="1">
      <c r="A427" s="16"/>
      <c r="B427" s="169"/>
      <c r="C427" s="170"/>
      <c r="D427" s="170"/>
      <c r="E427" s="170"/>
      <c r="F427" s="462">
        <v>0.0</v>
      </c>
      <c r="G427" s="205"/>
      <c r="H427" s="173"/>
      <c r="I427" s="207"/>
      <c r="J427" s="159"/>
      <c r="K427" s="11"/>
      <c r="L427" s="16"/>
      <c r="M427" s="16"/>
      <c r="N427" s="16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AE427" s="398"/>
      <c r="AF427" s="398">
        <f t="shared" ref="AF427:AL427" si="40">AE426*70%*93%</f>
        <v>0</v>
      </c>
      <c r="AG427" s="398">
        <f t="shared" si="40"/>
        <v>0</v>
      </c>
      <c r="AH427" s="398">
        <f t="shared" si="40"/>
        <v>0</v>
      </c>
      <c r="AI427" s="398">
        <f t="shared" si="40"/>
        <v>0</v>
      </c>
      <c r="AJ427" s="398">
        <f t="shared" si="40"/>
        <v>0</v>
      </c>
      <c r="AK427" s="398">
        <f t="shared" si="40"/>
        <v>0</v>
      </c>
      <c r="AL427" s="398">
        <f t="shared" si="40"/>
        <v>0</v>
      </c>
      <c r="AM427" s="577"/>
      <c r="AN427" s="577"/>
      <c r="AO427" s="577"/>
    </row>
    <row r="428" hidden="1">
      <c r="A428" s="16"/>
      <c r="B428" s="419" t="s">
        <v>131</v>
      </c>
      <c r="C428" s="170"/>
      <c r="D428" s="170" t="s">
        <v>718</v>
      </c>
      <c r="E428" s="170" t="s">
        <v>719</v>
      </c>
      <c r="F428" s="462">
        <v>0.0</v>
      </c>
      <c r="G428" s="205">
        <f>F428*50</f>
        <v>0</v>
      </c>
      <c r="H428" s="173">
        <v>0.25</v>
      </c>
      <c r="I428" s="207">
        <f>G428*H428</f>
        <v>0</v>
      </c>
      <c r="J428" s="338" t="s">
        <v>354</v>
      </c>
      <c r="K428" s="11"/>
      <c r="L428" s="16"/>
      <c r="M428" s="16"/>
      <c r="N428" s="16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E428" s="469">
        <f>F428*I428*20%*20%+F428*I428*20%*80%</f>
        <v>0</v>
      </c>
      <c r="AF428" s="469">
        <f>F428*I428*20%*20%</f>
        <v>0</v>
      </c>
      <c r="AG428" s="469">
        <f>F428*I428*20%*20%</f>
        <v>0</v>
      </c>
      <c r="AH428" s="469"/>
      <c r="AI428" s="469">
        <f>F428*I428*15%*20%+F428*I428*50%*80%</f>
        <v>0</v>
      </c>
      <c r="AJ428" s="469">
        <f>F428*I428*15%*20%</f>
        <v>0</v>
      </c>
      <c r="AK428" s="469">
        <f>F428*I428*10%*20%+F428*I428*30%*80%</f>
        <v>0</v>
      </c>
      <c r="AL428" s="469"/>
    </row>
    <row r="429" hidden="1">
      <c r="A429" s="16"/>
      <c r="B429" s="169"/>
      <c r="C429" s="170"/>
      <c r="D429" s="170"/>
      <c r="E429" s="170"/>
      <c r="F429" s="473">
        <v>0.0</v>
      </c>
      <c r="G429" s="205"/>
      <c r="H429" s="173"/>
      <c r="I429" s="207"/>
      <c r="J429" s="338"/>
      <c r="K429" s="11"/>
      <c r="L429" s="16"/>
      <c r="M429" s="16"/>
      <c r="N429" s="16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E429" s="398"/>
      <c r="AF429" s="398">
        <f t="shared" ref="AF429:AL429" si="41">AE428*70%*93%</f>
        <v>0</v>
      </c>
      <c r="AG429" s="398">
        <f t="shared" si="41"/>
        <v>0</v>
      </c>
      <c r="AH429" s="398">
        <f t="shared" si="41"/>
        <v>0</v>
      </c>
      <c r="AI429" s="398">
        <f t="shared" si="41"/>
        <v>0</v>
      </c>
      <c r="AJ429" s="398">
        <f t="shared" si="41"/>
        <v>0</v>
      </c>
      <c r="AK429" s="398">
        <f t="shared" si="41"/>
        <v>0</v>
      </c>
      <c r="AL429" s="398">
        <f t="shared" si="41"/>
        <v>0</v>
      </c>
    </row>
    <row r="430" hidden="1">
      <c r="A430" s="16"/>
      <c r="B430" s="446" t="s">
        <v>121</v>
      </c>
      <c r="C430" s="580"/>
      <c r="D430" s="580" t="s">
        <v>259</v>
      </c>
      <c r="E430" s="580" t="s">
        <v>279</v>
      </c>
      <c r="F430" s="60">
        <v>0.0</v>
      </c>
      <c r="G430" s="581">
        <f>F430*5</f>
        <v>0</v>
      </c>
      <c r="H430" s="582">
        <v>0.35</v>
      </c>
      <c r="I430" s="583">
        <f>G430*H430</f>
        <v>0</v>
      </c>
      <c r="J430" s="374" t="s">
        <v>55</v>
      </c>
      <c r="K430" s="11"/>
      <c r="L430" s="16"/>
      <c r="M430" s="16"/>
      <c r="N430" s="16"/>
      <c r="O430" s="12"/>
      <c r="P430" s="12"/>
      <c r="Q430" s="12"/>
      <c r="R430" s="12"/>
      <c r="S430" s="12"/>
      <c r="T430" s="12"/>
      <c r="U430" s="28"/>
      <c r="V430" s="12"/>
      <c r="W430" s="12"/>
      <c r="X430" s="12"/>
      <c r="AC430" s="471">
        <f>I430</f>
        <v>0</v>
      </c>
      <c r="AE430" s="471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</row>
    <row r="431" hidden="1">
      <c r="A431" s="16"/>
      <c r="B431" s="584"/>
      <c r="C431" s="104"/>
      <c r="D431" s="104"/>
      <c r="E431" s="104"/>
      <c r="F431" s="75">
        <v>0.0</v>
      </c>
      <c r="G431" s="227"/>
      <c r="H431" s="106"/>
      <c r="I431" s="228"/>
      <c r="J431" s="374"/>
      <c r="K431" s="11"/>
      <c r="L431" s="16"/>
      <c r="M431" s="16"/>
      <c r="N431" s="16"/>
      <c r="O431" s="12"/>
      <c r="P431" s="12"/>
      <c r="Q431" s="12"/>
      <c r="R431" s="12"/>
      <c r="S431" s="12"/>
      <c r="T431" s="12"/>
      <c r="U431" s="28"/>
      <c r="V431" s="12"/>
      <c r="W431" s="12"/>
      <c r="X431" s="12"/>
      <c r="AC431" s="472"/>
      <c r="AE431" s="472">
        <f>F430*H430*2.4</f>
        <v>0</v>
      </c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</row>
    <row r="432" hidden="1">
      <c r="A432" s="16"/>
      <c r="B432" s="270" t="s">
        <v>127</v>
      </c>
      <c r="C432" s="170"/>
      <c r="D432" s="170" t="s">
        <v>652</v>
      </c>
      <c r="E432" s="170" t="s">
        <v>720</v>
      </c>
      <c r="F432" s="467">
        <v>0.0</v>
      </c>
      <c r="G432" s="172">
        <f>F432*50</f>
        <v>0</v>
      </c>
      <c r="H432" s="173">
        <v>0.0</v>
      </c>
      <c r="I432" s="170">
        <f>G432*H432</f>
        <v>0</v>
      </c>
      <c r="J432" s="338" t="s">
        <v>310</v>
      </c>
      <c r="K432" s="11"/>
      <c r="L432" s="16"/>
      <c r="M432" s="16"/>
      <c r="N432" s="16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E432" s="585"/>
      <c r="AF432" s="585"/>
      <c r="AG432" s="585"/>
      <c r="AH432" s="585"/>
      <c r="AI432" s="585"/>
      <c r="AJ432" s="585"/>
      <c r="AK432" s="585"/>
      <c r="AL432" s="12"/>
      <c r="AM432" s="12"/>
      <c r="AN432" s="12"/>
      <c r="AO432" s="12"/>
      <c r="AP432" s="12"/>
      <c r="AQ432" s="12"/>
      <c r="AR432" s="12"/>
      <c r="AS432" s="12"/>
    </row>
    <row r="433" hidden="1">
      <c r="A433" s="16"/>
      <c r="B433" s="169"/>
      <c r="C433" s="170"/>
      <c r="D433" s="170"/>
      <c r="E433" s="170"/>
      <c r="F433" s="467">
        <v>0.0</v>
      </c>
      <c r="G433" s="172"/>
      <c r="H433" s="173"/>
      <c r="I433" s="170"/>
      <c r="J433" s="338"/>
      <c r="K433" s="11"/>
      <c r="L433" s="16"/>
      <c r="M433" s="16"/>
      <c r="N433" s="16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E433" s="585"/>
      <c r="AF433" s="585"/>
      <c r="AG433" s="585"/>
      <c r="AH433" s="585"/>
      <c r="AI433" s="585"/>
      <c r="AJ433" s="585"/>
      <c r="AK433" s="585"/>
      <c r="AL433" s="12"/>
      <c r="AM433" s="12"/>
      <c r="AN433" s="12"/>
      <c r="AO433" s="12"/>
      <c r="AP433" s="12"/>
      <c r="AQ433" s="12"/>
      <c r="AR433" s="12"/>
      <c r="AS433" s="12"/>
    </row>
    <row r="434" hidden="1">
      <c r="A434" s="16"/>
      <c r="B434" s="474" t="s">
        <v>121</v>
      </c>
      <c r="C434" s="170"/>
      <c r="D434" s="170" t="s">
        <v>193</v>
      </c>
      <c r="E434" s="170" t="s">
        <v>721</v>
      </c>
      <c r="F434" s="462">
        <f>AD2</f>
        <v>0</v>
      </c>
      <c r="G434" s="205">
        <f>F434*69</f>
        <v>0</v>
      </c>
      <c r="H434" s="173">
        <v>0.25</v>
      </c>
      <c r="I434" s="207">
        <f>G434*H434</f>
        <v>0</v>
      </c>
      <c r="J434" s="338" t="s">
        <v>15</v>
      </c>
      <c r="K434" s="264">
        <v>0.5</v>
      </c>
      <c r="L434" s="16"/>
      <c r="M434" s="16"/>
      <c r="N434" s="16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AE434" s="471">
        <f>F434*I434*20%*20%+F434*I434*20%*80%</f>
        <v>0</v>
      </c>
      <c r="AF434" s="471">
        <f>F434*I434*20%*20%</f>
        <v>0</v>
      </c>
      <c r="AG434" s="471">
        <f>F434*I434*20%*20%</f>
        <v>0</v>
      </c>
      <c r="AH434" s="471"/>
      <c r="AI434" s="471">
        <f>F434*I434*15%*20%+F434*I434*50%*80%</f>
        <v>0</v>
      </c>
      <c r="AJ434" s="471">
        <f>F434*I434*15%*20%</f>
        <v>0</v>
      </c>
      <c r="AK434" s="471">
        <f>F434*I434*10%*20%+F434*I434*30%*80%</f>
        <v>0</v>
      </c>
      <c r="AL434" s="12"/>
      <c r="AM434" s="12"/>
      <c r="AN434" s="12"/>
      <c r="AO434" s="12"/>
      <c r="AP434" s="12"/>
      <c r="AQ434" s="12"/>
      <c r="AR434" s="12"/>
      <c r="AS434" s="12"/>
    </row>
    <row r="435" hidden="1">
      <c r="A435" s="16"/>
      <c r="B435" s="169"/>
      <c r="C435" s="170"/>
      <c r="D435" s="170"/>
      <c r="E435" s="170"/>
      <c r="F435" s="463">
        <f>AD2</f>
        <v>0</v>
      </c>
      <c r="G435" s="575"/>
      <c r="H435" s="310"/>
      <c r="I435" s="576"/>
      <c r="J435" s="338"/>
      <c r="K435" s="11"/>
      <c r="L435" s="16"/>
      <c r="M435" s="16"/>
      <c r="N435" s="16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AE435" s="472"/>
      <c r="AF435" s="472">
        <f t="shared" ref="AF435:AL435" si="42">AE434*70%*93%</f>
        <v>0</v>
      </c>
      <c r="AG435" s="472">
        <f t="shared" si="42"/>
        <v>0</v>
      </c>
      <c r="AH435" s="472">
        <f t="shared" si="42"/>
        <v>0</v>
      </c>
      <c r="AI435" s="472">
        <f t="shared" si="42"/>
        <v>0</v>
      </c>
      <c r="AJ435" s="472">
        <f t="shared" si="42"/>
        <v>0</v>
      </c>
      <c r="AK435" s="472">
        <f t="shared" si="42"/>
        <v>0</v>
      </c>
      <c r="AL435" s="472">
        <f t="shared" si="42"/>
        <v>0</v>
      </c>
      <c r="AM435" s="12"/>
      <c r="AN435" s="12"/>
      <c r="AO435" s="12"/>
      <c r="AP435" s="12"/>
      <c r="AQ435" s="12"/>
      <c r="AR435" s="12"/>
      <c r="AS435" s="12"/>
    </row>
    <row r="436" hidden="1">
      <c r="A436" s="16"/>
      <c r="B436" s="419" t="s">
        <v>131</v>
      </c>
      <c r="C436" s="170"/>
      <c r="D436" s="170" t="s">
        <v>699</v>
      </c>
      <c r="E436" s="170" t="s">
        <v>722</v>
      </c>
      <c r="F436" s="462">
        <v>0.0</v>
      </c>
      <c r="G436" s="205">
        <f>F436*20</f>
        <v>0</v>
      </c>
      <c r="H436" s="173">
        <v>0.3</v>
      </c>
      <c r="I436" s="207">
        <f>G436*H436</f>
        <v>0</v>
      </c>
      <c r="J436" s="338" t="s">
        <v>354</v>
      </c>
      <c r="K436" s="11"/>
      <c r="L436" s="16"/>
      <c r="M436" s="16"/>
      <c r="N436" s="16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AE436" s="469">
        <f>F436*I436*20%</f>
        <v>0</v>
      </c>
      <c r="AF436" s="469">
        <f>F436*I436*20%</f>
        <v>0</v>
      </c>
      <c r="AG436" s="469">
        <f>F436*I436*20%</f>
        <v>0</v>
      </c>
      <c r="AH436" s="469">
        <f>F436*I436*20%</f>
        <v>0</v>
      </c>
      <c r="AI436" s="469">
        <f>F436*I436*20%</f>
        <v>0</v>
      </c>
      <c r="AJ436" s="578"/>
      <c r="AK436" s="578"/>
      <c r="AL436" s="578"/>
      <c r="AM436" s="12"/>
      <c r="AN436" s="12"/>
      <c r="AO436" s="12"/>
      <c r="AP436" s="12"/>
      <c r="AQ436" s="12"/>
      <c r="AR436" s="12"/>
      <c r="AS436" s="12"/>
    </row>
    <row r="437" hidden="1">
      <c r="A437" s="16"/>
      <c r="B437" s="169"/>
      <c r="C437" s="170"/>
      <c r="D437" s="170"/>
      <c r="E437" s="170"/>
      <c r="F437" s="462">
        <v>0.0</v>
      </c>
      <c r="G437" s="205"/>
      <c r="H437" s="173"/>
      <c r="I437" s="207"/>
      <c r="J437" s="338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2"/>
      <c r="AE437" s="477"/>
      <c r="AF437" s="386"/>
      <c r="AG437" s="398">
        <f>F436*H436*1.5</f>
        <v>0</v>
      </c>
      <c r="AH437" s="477">
        <f>F436*H436*4</f>
        <v>0</v>
      </c>
      <c r="AI437" s="386"/>
      <c r="AJ437" s="578"/>
      <c r="AK437" s="578"/>
      <c r="AL437" s="578"/>
      <c r="AM437" s="12"/>
      <c r="AN437" s="12"/>
      <c r="AO437" s="12"/>
      <c r="AP437" s="12"/>
      <c r="AQ437" s="12"/>
      <c r="AR437" s="12"/>
      <c r="AS437" s="12"/>
    </row>
    <row r="438" hidden="1">
      <c r="A438" s="16"/>
      <c r="B438" s="103" t="s">
        <v>452</v>
      </c>
      <c r="C438" s="170">
        <v>26.0</v>
      </c>
      <c r="D438" s="170" t="s">
        <v>71</v>
      </c>
      <c r="E438" s="170" t="s">
        <v>723</v>
      </c>
      <c r="F438" s="462">
        <v>0.0</v>
      </c>
      <c r="G438" s="205">
        <f>F438*2</f>
        <v>0</v>
      </c>
      <c r="H438" s="173">
        <v>0.8</v>
      </c>
      <c r="I438" s="207">
        <f>G438*H438</f>
        <v>0</v>
      </c>
      <c r="J438" s="159" t="s">
        <v>310</v>
      </c>
      <c r="K438" s="11"/>
      <c r="L438" s="16"/>
      <c r="M438" s="16"/>
      <c r="N438" s="16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AC438" s="471">
        <f>I438</f>
        <v>0</v>
      </c>
      <c r="AN438" s="577"/>
    </row>
    <row r="439" hidden="1">
      <c r="A439" s="16"/>
      <c r="B439" s="169"/>
      <c r="C439" s="170"/>
      <c r="D439" s="170"/>
      <c r="E439" s="170"/>
      <c r="F439" s="462">
        <v>0.0</v>
      </c>
      <c r="G439" s="205"/>
      <c r="H439" s="173"/>
      <c r="I439" s="207"/>
      <c r="J439" s="159"/>
      <c r="K439" s="11"/>
      <c r="L439" s="16"/>
      <c r="M439" s="16"/>
      <c r="N439" s="16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AC439" s="525"/>
      <c r="AN439" s="577"/>
    </row>
    <row r="440" hidden="1">
      <c r="A440" s="16"/>
      <c r="B440" s="446" t="s">
        <v>452</v>
      </c>
      <c r="C440" s="104"/>
      <c r="D440" s="449" t="s">
        <v>193</v>
      </c>
      <c r="E440" s="449" t="s">
        <v>724</v>
      </c>
      <c r="F440" s="60">
        <v>0.0</v>
      </c>
      <c r="G440" s="464">
        <f>27*F440</f>
        <v>0</v>
      </c>
      <c r="H440" s="448">
        <v>0.9</v>
      </c>
      <c r="I440" s="465">
        <f>G440*H440</f>
        <v>0</v>
      </c>
      <c r="J440" s="374" t="s">
        <v>55</v>
      </c>
      <c r="K440" s="11"/>
      <c r="L440" s="16"/>
      <c r="M440" s="16"/>
      <c r="N440" s="16"/>
      <c r="O440" s="12"/>
      <c r="P440" s="12"/>
      <c r="Q440" s="12"/>
      <c r="R440" s="12"/>
      <c r="S440" s="12"/>
      <c r="T440" s="12"/>
      <c r="U440" s="28"/>
      <c r="V440" s="12"/>
      <c r="W440" s="12"/>
      <c r="X440" s="12"/>
      <c r="AJ440" s="469">
        <f>I440</f>
        <v>0</v>
      </c>
      <c r="AK440" s="12"/>
      <c r="AL440" s="12"/>
      <c r="AM440" s="12"/>
      <c r="AN440" s="12"/>
      <c r="AO440" s="12"/>
      <c r="AP440" s="12"/>
      <c r="AQ440" s="12"/>
      <c r="AR440" s="12"/>
      <c r="AS440" s="12"/>
    </row>
    <row r="441" hidden="1">
      <c r="A441" s="16"/>
      <c r="B441" s="103"/>
      <c r="C441" s="104"/>
      <c r="D441" s="104"/>
      <c r="E441" s="104"/>
      <c r="F441" s="75">
        <v>0.0</v>
      </c>
      <c r="G441" s="227"/>
      <c r="H441" s="106"/>
      <c r="I441" s="228"/>
      <c r="J441" s="374"/>
      <c r="K441" s="11"/>
      <c r="L441" s="16"/>
      <c r="M441" s="16"/>
      <c r="N441" s="16"/>
      <c r="O441" s="12"/>
      <c r="P441" s="12"/>
      <c r="Q441" s="12"/>
      <c r="R441" s="12"/>
      <c r="S441" s="12"/>
      <c r="T441" s="12"/>
      <c r="U441" s="28"/>
      <c r="V441" s="12"/>
      <c r="W441" s="12"/>
      <c r="X441" s="12"/>
      <c r="AJ441" s="398">
        <f>AJ440*0.1</f>
        <v>0</v>
      </c>
      <c r="AK441" s="12"/>
      <c r="AL441" s="12"/>
      <c r="AM441" s="12"/>
      <c r="AN441" s="12"/>
      <c r="AO441" s="12"/>
      <c r="AP441" s="12"/>
      <c r="AQ441" s="12"/>
      <c r="AR441" s="12"/>
      <c r="AS441" s="12"/>
    </row>
    <row r="442" hidden="1">
      <c r="A442" s="16"/>
      <c r="B442" s="213" t="s">
        <v>452</v>
      </c>
      <c r="C442" s="170"/>
      <c r="D442" s="170" t="s">
        <v>71</v>
      </c>
      <c r="E442" s="170" t="s">
        <v>725</v>
      </c>
      <c r="F442" s="462">
        <f>AD2</f>
        <v>0</v>
      </c>
      <c r="G442" s="205">
        <f>F442*200</f>
        <v>0</v>
      </c>
      <c r="H442" s="173">
        <v>0.1</v>
      </c>
      <c r="I442" s="207">
        <f>G442*H442</f>
        <v>0</v>
      </c>
      <c r="J442" s="338" t="s">
        <v>15</v>
      </c>
      <c r="K442" s="11" t="s">
        <v>75</v>
      </c>
      <c r="L442" s="16"/>
      <c r="M442" s="16"/>
      <c r="N442" s="16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AI442" s="471">
        <f>F442*I442*20%</f>
        <v>0</v>
      </c>
      <c r="AJ442" s="471">
        <f>F442*I442*20%</f>
        <v>0</v>
      </c>
      <c r="AK442" s="12"/>
      <c r="AL442" s="12"/>
      <c r="AM442" s="12"/>
      <c r="AN442" s="12"/>
      <c r="AO442" s="12"/>
      <c r="AP442" s="12"/>
      <c r="AQ442" s="12"/>
      <c r="AR442" s="12"/>
      <c r="AS442" s="12"/>
    </row>
    <row r="443" hidden="1">
      <c r="A443" s="16"/>
      <c r="B443" s="169"/>
      <c r="C443" s="170"/>
      <c r="D443" s="170"/>
      <c r="E443" s="170"/>
      <c r="F443" s="463">
        <f>AD2</f>
        <v>0</v>
      </c>
      <c r="G443" s="205"/>
      <c r="H443" s="173"/>
      <c r="I443" s="207"/>
      <c r="J443" s="338"/>
      <c r="K443" s="11"/>
      <c r="L443" s="16"/>
      <c r="M443" s="16"/>
      <c r="N443" s="16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AI443" s="535">
        <f>F442*H442*4</f>
        <v>0</v>
      </c>
      <c r="AJ443" s="100"/>
      <c r="AK443" s="12"/>
      <c r="AL443" s="12"/>
      <c r="AM443" s="12"/>
      <c r="AN443" s="12"/>
      <c r="AO443" s="12"/>
      <c r="AP443" s="12"/>
      <c r="AQ443" s="12"/>
      <c r="AR443" s="12"/>
      <c r="AS443" s="12"/>
    </row>
    <row r="444" hidden="1">
      <c r="B444" s="424" t="s">
        <v>460</v>
      </c>
      <c r="C444" s="170">
        <v>21.0</v>
      </c>
      <c r="D444" s="170" t="s">
        <v>696</v>
      </c>
      <c r="E444" s="170" t="s">
        <v>726</v>
      </c>
      <c r="F444" s="462">
        <v>0.0</v>
      </c>
      <c r="G444" s="205">
        <f>F444*7</f>
        <v>0</v>
      </c>
      <c r="H444" s="173">
        <v>0.5</v>
      </c>
      <c r="I444" s="207">
        <f>G444*H444</f>
        <v>0</v>
      </c>
      <c r="J444" s="338" t="s">
        <v>55</v>
      </c>
      <c r="K444" s="11"/>
      <c r="AK444" s="12"/>
      <c r="AL444" s="12"/>
      <c r="AM444" s="12"/>
      <c r="AN444" s="12"/>
      <c r="AO444" s="12"/>
      <c r="AP444" s="12"/>
      <c r="AQ444" s="12"/>
      <c r="AR444" s="12"/>
      <c r="AS444" s="12"/>
    </row>
    <row r="445" hidden="1">
      <c r="B445" s="169"/>
      <c r="C445" s="170"/>
      <c r="D445" s="170"/>
      <c r="E445" s="170"/>
      <c r="F445" s="462">
        <v>0.0</v>
      </c>
      <c r="G445" s="205"/>
      <c r="H445" s="173"/>
      <c r="I445" s="207"/>
      <c r="J445" s="338"/>
      <c r="K445" s="11"/>
      <c r="AK445" s="12"/>
      <c r="AL445" s="12"/>
      <c r="AM445" s="12"/>
      <c r="AN445" s="12"/>
      <c r="AO445" s="12"/>
      <c r="AP445" s="12"/>
      <c r="AQ445" s="12"/>
      <c r="AR445" s="12"/>
      <c r="AS445" s="12"/>
    </row>
    <row r="446" hidden="1">
      <c r="A446" s="16"/>
      <c r="B446" s="169" t="s">
        <v>467</v>
      </c>
      <c r="C446" s="170"/>
      <c r="D446" s="209" t="s">
        <v>193</v>
      </c>
      <c r="E446" s="170" t="s">
        <v>727</v>
      </c>
      <c r="F446" s="467">
        <v>0.0</v>
      </c>
      <c r="G446" s="205">
        <f>20*F446</f>
        <v>0</v>
      </c>
      <c r="H446" s="173">
        <v>1.0</v>
      </c>
      <c r="I446" s="207">
        <f>G446*H446</f>
        <v>0</v>
      </c>
      <c r="J446" s="159" t="s">
        <v>55</v>
      </c>
      <c r="K446" s="11"/>
      <c r="L446" s="16"/>
      <c r="M446" s="16"/>
      <c r="N446" s="16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AK446" s="12"/>
      <c r="AL446" s="12"/>
      <c r="AM446" s="578"/>
      <c r="AN446" s="12"/>
      <c r="AO446" s="12"/>
      <c r="AP446" s="12"/>
      <c r="AQ446" s="12"/>
      <c r="AR446" s="12"/>
      <c r="AS446" s="12"/>
    </row>
    <row r="447" hidden="1">
      <c r="A447" s="16"/>
      <c r="B447" s="169"/>
      <c r="C447" s="170"/>
      <c r="D447" s="170"/>
      <c r="E447" s="170"/>
      <c r="F447" s="467">
        <v>0.0</v>
      </c>
      <c r="G447" s="205"/>
      <c r="H447" s="173"/>
      <c r="I447" s="207"/>
      <c r="J447" s="159"/>
      <c r="K447" s="11"/>
      <c r="L447" s="16"/>
      <c r="M447" s="16"/>
      <c r="N447" s="16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AK447" s="12"/>
      <c r="AL447" s="12"/>
      <c r="AM447" s="578"/>
      <c r="AN447" s="12"/>
      <c r="AO447" s="12"/>
      <c r="AP447" s="12"/>
      <c r="AQ447" s="12"/>
      <c r="AR447" s="12"/>
      <c r="AS447" s="12"/>
    </row>
    <row r="448">
      <c r="A448" s="16"/>
      <c r="B448" s="210" t="s">
        <v>467</v>
      </c>
      <c r="C448" s="170">
        <v>3.0</v>
      </c>
      <c r="D448" s="170" t="s">
        <v>71</v>
      </c>
      <c r="E448" s="170" t="s">
        <v>725</v>
      </c>
      <c r="F448" s="462">
        <v>1.0</v>
      </c>
      <c r="G448" s="205">
        <f>F448*200</f>
        <v>200</v>
      </c>
      <c r="H448" s="173">
        <v>0.5</v>
      </c>
      <c r="I448" s="207">
        <f>G448*H448</f>
        <v>100</v>
      </c>
      <c r="J448" s="159" t="s">
        <v>55</v>
      </c>
      <c r="K448" s="11"/>
      <c r="L448" s="16"/>
      <c r="M448" s="16"/>
      <c r="N448" s="16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AG448" s="471">
        <f>I448*30%*75%</f>
        <v>22.5</v>
      </c>
      <c r="AI448" s="471">
        <f>I448*80%*25%</f>
        <v>20</v>
      </c>
      <c r="AK448" s="471">
        <f>I448*20%*25%</f>
        <v>5</v>
      </c>
      <c r="AM448" s="471">
        <f>I448*40%*75%</f>
        <v>30</v>
      </c>
      <c r="AN448" s="471">
        <f>I448*30%*75%</f>
        <v>22.5</v>
      </c>
    </row>
    <row r="449">
      <c r="A449" s="16"/>
      <c r="B449" s="248"/>
      <c r="C449" s="170"/>
      <c r="D449" s="170"/>
      <c r="E449" s="170"/>
      <c r="F449" s="462">
        <v>1.0</v>
      </c>
      <c r="G449" s="205"/>
      <c r="H449" s="173"/>
      <c r="I449" s="207"/>
      <c r="J449" s="159"/>
      <c r="K449" s="11"/>
      <c r="L449" s="16"/>
      <c r="M449" s="16"/>
      <c r="N449" s="16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AG449" s="113">
        <f>F449*H448*2.6</f>
        <v>1.3</v>
      </c>
      <c r="AI449" s="113">
        <f>F449*H448*25.6</f>
        <v>12.8</v>
      </c>
      <c r="AK449" s="113">
        <f>F449*H448*7.3</f>
        <v>3.65</v>
      </c>
      <c r="AM449" s="113">
        <f>F449*H448*8.4</f>
        <v>4.2</v>
      </c>
      <c r="AN449" s="113">
        <f>F449*H448*13</f>
        <v>6.5</v>
      </c>
    </row>
    <row r="450" hidden="1">
      <c r="A450" s="16"/>
      <c r="B450" s="220" t="s">
        <v>460</v>
      </c>
      <c r="C450" s="221"/>
      <c r="D450" s="221" t="s">
        <v>728</v>
      </c>
      <c r="E450" s="221" t="s">
        <v>729</v>
      </c>
      <c r="F450" s="222">
        <v>0.0</v>
      </c>
      <c r="G450" s="223">
        <f>F450*170</f>
        <v>0</v>
      </c>
      <c r="H450" s="224">
        <v>0.3</v>
      </c>
      <c r="I450" s="225">
        <f>G450*H450</f>
        <v>0</v>
      </c>
      <c r="J450" s="569" t="s">
        <v>55</v>
      </c>
      <c r="K450" s="11"/>
      <c r="L450" s="16"/>
      <c r="M450" s="16"/>
      <c r="N450" s="16"/>
      <c r="O450" s="12"/>
      <c r="P450" s="12"/>
      <c r="Q450" s="12"/>
      <c r="R450" s="12"/>
      <c r="S450" s="12"/>
      <c r="T450" s="12"/>
      <c r="U450" s="12"/>
      <c r="V450" s="12"/>
      <c r="W450" s="12"/>
      <c r="AD450" s="578"/>
      <c r="AE450" s="577"/>
      <c r="AI450" s="469"/>
      <c r="AJ450" s="469"/>
      <c r="AK450" s="469"/>
      <c r="AL450" s="469"/>
      <c r="AM450" s="578"/>
      <c r="AN450" s="12"/>
      <c r="AO450" s="12"/>
      <c r="AP450" s="12"/>
      <c r="AQ450" s="12"/>
      <c r="AR450" s="12"/>
      <c r="AS450" s="12"/>
    </row>
    <row r="451" hidden="1">
      <c r="A451" s="16"/>
      <c r="B451" s="586"/>
      <c r="C451" s="221"/>
      <c r="D451" s="221"/>
      <c r="E451" s="221"/>
      <c r="F451" s="222">
        <v>0.0</v>
      </c>
      <c r="G451" s="223"/>
      <c r="H451" s="224"/>
      <c r="I451" s="225"/>
      <c r="J451" s="569"/>
      <c r="K451" s="11"/>
      <c r="L451" s="16"/>
      <c r="M451" s="16"/>
      <c r="N451" s="16"/>
      <c r="O451" s="12"/>
      <c r="P451" s="12"/>
      <c r="Q451" s="12"/>
      <c r="R451" s="12"/>
      <c r="S451" s="12"/>
      <c r="T451" s="12"/>
      <c r="U451" s="12"/>
      <c r="V451" s="12"/>
      <c r="W451" s="12"/>
      <c r="AD451" s="578"/>
      <c r="AE451" s="577"/>
      <c r="AI451" s="469"/>
      <c r="AJ451" s="469"/>
      <c r="AK451" s="469"/>
      <c r="AL451" s="469"/>
      <c r="AM451" s="578"/>
      <c r="AN451" s="12"/>
      <c r="AO451" s="12"/>
      <c r="AP451" s="12"/>
      <c r="AQ451" s="12"/>
      <c r="AR451" s="12"/>
      <c r="AS451" s="12"/>
    </row>
    <row r="452" hidden="1">
      <c r="A452" s="16"/>
      <c r="B452" s="210" t="s">
        <v>460</v>
      </c>
      <c r="C452" s="170">
        <v>22.0</v>
      </c>
      <c r="D452" s="170" t="s">
        <v>343</v>
      </c>
      <c r="E452" s="170" t="s">
        <v>730</v>
      </c>
      <c r="F452" s="462">
        <v>0.0</v>
      </c>
      <c r="G452" s="205">
        <f>F452*120</f>
        <v>0</v>
      </c>
      <c r="H452" s="173">
        <v>1.0</v>
      </c>
      <c r="I452" s="207">
        <f>G452*H452</f>
        <v>0</v>
      </c>
      <c r="J452" s="338" t="s">
        <v>55</v>
      </c>
      <c r="K452" s="11" t="s">
        <v>731</v>
      </c>
      <c r="L452" s="16"/>
      <c r="M452" s="16"/>
      <c r="N452" s="16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AG452" s="471">
        <f>I452*72%*20%+I452*28%*20%</f>
        <v>0</v>
      </c>
      <c r="AH452" s="471">
        <f>I452*72%*10%</f>
        <v>0</v>
      </c>
      <c r="AI452" s="471">
        <f>I452*72%*15%</f>
        <v>0</v>
      </c>
      <c r="AL452" s="471">
        <f>I452*72%*30%+I452*28%*80%</f>
        <v>0</v>
      </c>
      <c r="AM452" s="471">
        <f>I452*72%*10%</f>
        <v>0</v>
      </c>
      <c r="AN452" s="471">
        <f>I452*72%*15%</f>
        <v>0</v>
      </c>
      <c r="AO452" s="471"/>
      <c r="AP452" s="12"/>
      <c r="AQ452" s="12"/>
      <c r="AR452" s="12"/>
      <c r="AS452" s="12"/>
    </row>
    <row r="453" hidden="1">
      <c r="A453" s="16"/>
      <c r="B453" s="169"/>
      <c r="C453" s="170"/>
      <c r="D453" s="170"/>
      <c r="E453" s="170"/>
      <c r="F453" s="462">
        <v>0.0</v>
      </c>
      <c r="G453" s="205"/>
      <c r="H453" s="173"/>
      <c r="I453" s="207"/>
      <c r="J453" s="338"/>
      <c r="K453" s="11"/>
      <c r="L453" s="16"/>
      <c r="M453" s="16"/>
      <c r="N453" s="16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AG453" s="525"/>
      <c r="AH453" s="100">
        <f>F452*H452*5</f>
        <v>0</v>
      </c>
      <c r="AI453" s="587"/>
      <c r="AL453" s="100">
        <f>F452*H452*22</f>
        <v>0</v>
      </c>
      <c r="AM453" s="100">
        <f>F452*H452*7</f>
        <v>0</v>
      </c>
      <c r="AN453" s="100">
        <f>F452*H452*7</f>
        <v>0</v>
      </c>
      <c r="AO453" s="100">
        <f>F452*H452*7</f>
        <v>0</v>
      </c>
      <c r="AP453" s="12"/>
      <c r="AQ453" s="12"/>
      <c r="AR453" s="12"/>
      <c r="AS453" s="12"/>
    </row>
    <row r="454">
      <c r="A454" s="16"/>
      <c r="B454" s="210" t="s">
        <v>467</v>
      </c>
      <c r="C454" s="170">
        <v>4.0</v>
      </c>
      <c r="D454" s="170" t="s">
        <v>732</v>
      </c>
      <c r="E454" s="170" t="s">
        <v>733</v>
      </c>
      <c r="F454" s="462">
        <f>1</f>
        <v>1</v>
      </c>
      <c r="G454" s="205">
        <f>F454*10</f>
        <v>10</v>
      </c>
      <c r="H454" s="173">
        <v>0.7</v>
      </c>
      <c r="I454" s="207">
        <f>G454*H454</f>
        <v>7</v>
      </c>
      <c r="J454" s="159" t="s">
        <v>55</v>
      </c>
      <c r="K454" s="11"/>
      <c r="L454" s="16"/>
      <c r="M454" s="16"/>
      <c r="N454" s="16"/>
      <c r="O454" s="12"/>
      <c r="P454" s="12"/>
      <c r="Q454" s="12"/>
      <c r="R454" s="12"/>
      <c r="S454" s="12"/>
      <c r="T454" s="12"/>
      <c r="U454" s="12"/>
      <c r="V454" s="12"/>
      <c r="W454" s="16"/>
      <c r="X454" s="12"/>
      <c r="Y454" s="12"/>
      <c r="Z454" s="12"/>
      <c r="AH454" s="94">
        <f>I454</f>
        <v>7</v>
      </c>
    </row>
    <row r="455">
      <c r="A455" s="16"/>
      <c r="B455" s="169"/>
      <c r="C455" s="170"/>
      <c r="D455" s="170"/>
      <c r="E455" s="170"/>
      <c r="F455" s="462">
        <v>1.0</v>
      </c>
      <c r="G455" s="205"/>
      <c r="H455" s="173"/>
      <c r="I455" s="207"/>
      <c r="J455" s="338"/>
      <c r="K455" s="11"/>
      <c r="L455" s="16"/>
      <c r="M455" s="16"/>
      <c r="N455" s="16"/>
      <c r="O455" s="12"/>
      <c r="P455" s="12"/>
      <c r="Q455" s="12"/>
      <c r="R455" s="12"/>
      <c r="S455" s="12"/>
      <c r="T455" s="12"/>
      <c r="U455" s="12"/>
      <c r="V455" s="12"/>
      <c r="W455" s="16"/>
      <c r="X455" s="12"/>
      <c r="Y455" s="12"/>
      <c r="Z455" s="12"/>
    </row>
    <row r="456" hidden="1">
      <c r="A456" s="16"/>
      <c r="B456" s="103" t="s">
        <v>467</v>
      </c>
      <c r="C456" s="104">
        <v>5.0</v>
      </c>
      <c r="D456" s="104" t="s">
        <v>734</v>
      </c>
      <c r="E456" s="104" t="s">
        <v>735</v>
      </c>
      <c r="F456" s="60">
        <v>0.0</v>
      </c>
      <c r="G456" s="227">
        <f>F456*35</f>
        <v>0</v>
      </c>
      <c r="H456" s="106">
        <v>0.7</v>
      </c>
      <c r="I456" s="228">
        <f>G456*H456</f>
        <v>0</v>
      </c>
      <c r="J456" s="374" t="s">
        <v>55</v>
      </c>
      <c r="K456" s="11"/>
      <c r="L456" s="16"/>
      <c r="M456" s="16"/>
      <c r="N456" s="16"/>
      <c r="O456" s="12"/>
      <c r="P456" s="12"/>
      <c r="Q456" s="12"/>
      <c r="R456" s="12"/>
      <c r="S456" s="12"/>
      <c r="T456" s="12"/>
      <c r="U456" s="12"/>
      <c r="V456" s="12"/>
      <c r="W456" s="16"/>
      <c r="X456" s="12"/>
      <c r="Y456" s="12"/>
      <c r="Z456" s="12"/>
      <c r="AF456" s="471">
        <f>I456</f>
        <v>0</v>
      </c>
    </row>
    <row r="457" hidden="1">
      <c r="A457" s="16"/>
      <c r="B457" s="103"/>
      <c r="C457" s="104"/>
      <c r="D457" s="104"/>
      <c r="E457" s="104"/>
      <c r="F457" s="60">
        <v>0.0</v>
      </c>
      <c r="G457" s="227"/>
      <c r="H457" s="106"/>
      <c r="I457" s="228"/>
      <c r="J457" s="374"/>
      <c r="K457" s="11"/>
      <c r="L457" s="16"/>
      <c r="M457" s="16"/>
      <c r="N457" s="16"/>
      <c r="O457" s="12"/>
      <c r="P457" s="12"/>
      <c r="Q457" s="12"/>
      <c r="R457" s="12"/>
      <c r="S457" s="12"/>
      <c r="T457" s="12"/>
      <c r="U457" s="12"/>
      <c r="V457" s="12"/>
      <c r="W457" s="16"/>
      <c r="X457" s="12"/>
      <c r="Y457" s="12"/>
      <c r="Z457" s="12"/>
      <c r="AF457" s="588"/>
    </row>
    <row r="458" hidden="1">
      <c r="A458" s="16"/>
      <c r="B458" s="424" t="s">
        <v>467</v>
      </c>
      <c r="C458" s="170">
        <v>6.0</v>
      </c>
      <c r="D458" s="170" t="s">
        <v>71</v>
      </c>
      <c r="E458" s="170" t="s">
        <v>736</v>
      </c>
      <c r="F458" s="462">
        <v>0.0</v>
      </c>
      <c r="G458" s="205">
        <f>F458*360</f>
        <v>0</v>
      </c>
      <c r="H458" s="173">
        <v>0.6</v>
      </c>
      <c r="I458" s="207">
        <f>G458*H458</f>
        <v>0</v>
      </c>
      <c r="J458" s="338" t="s">
        <v>55</v>
      </c>
      <c r="K458" s="11"/>
      <c r="L458" s="16"/>
      <c r="M458" s="16"/>
      <c r="N458" s="16"/>
      <c r="O458" s="12"/>
      <c r="P458" s="12"/>
      <c r="Q458" s="12"/>
      <c r="R458" s="12"/>
      <c r="S458" s="12"/>
      <c r="T458" s="12"/>
      <c r="U458" s="12"/>
      <c r="V458" s="12"/>
      <c r="W458" s="16"/>
      <c r="X458" s="12"/>
      <c r="Y458" s="12"/>
      <c r="Z458" s="12"/>
      <c r="AH458" s="471">
        <f>I458*10%</f>
        <v>0</v>
      </c>
      <c r="AJ458" s="471">
        <f>I458*5%</f>
        <v>0</v>
      </c>
      <c r="AL458" s="471">
        <f>I458*10%</f>
        <v>0</v>
      </c>
      <c r="AN458" s="471">
        <f>I458*45%</f>
        <v>0</v>
      </c>
      <c r="AO458" s="471"/>
      <c r="AP458" s="471">
        <f>I458*10%</f>
        <v>0</v>
      </c>
      <c r="AQ458" s="471">
        <f>I458*20%</f>
        <v>0</v>
      </c>
    </row>
    <row r="459">
      <c r="A459" s="16"/>
      <c r="B459" s="169"/>
      <c r="C459" s="170"/>
      <c r="D459" s="170"/>
      <c r="E459" s="170"/>
      <c r="F459" s="462">
        <v>1.0</v>
      </c>
      <c r="G459" s="205"/>
      <c r="H459" s="173"/>
      <c r="I459" s="207"/>
      <c r="J459" s="338"/>
      <c r="K459" s="11"/>
      <c r="L459" s="16"/>
      <c r="M459" s="16"/>
      <c r="N459" s="16"/>
      <c r="O459" s="12"/>
      <c r="P459" s="12"/>
      <c r="Q459" s="12"/>
      <c r="R459" s="12"/>
      <c r="S459" s="12"/>
      <c r="T459" s="12"/>
      <c r="U459" s="12"/>
      <c r="V459" s="12"/>
      <c r="W459" s="16"/>
      <c r="X459" s="12"/>
      <c r="Y459" s="12"/>
      <c r="Z459" s="12"/>
      <c r="AH459" s="386"/>
      <c r="AJ459" s="386"/>
      <c r="AL459" s="386">
        <f>F459*H458*18</f>
        <v>10.8</v>
      </c>
      <c r="AN459" s="386">
        <f>F459*H458*91</f>
        <v>54.6</v>
      </c>
      <c r="AO459" s="386">
        <f>F459*H458*42</f>
        <v>25.2</v>
      </c>
      <c r="AP459" s="589">
        <f>F459*H458*54</f>
        <v>32.4</v>
      </c>
      <c r="AQ459" s="589">
        <f>F459*H458*9</f>
        <v>5.4</v>
      </c>
    </row>
    <row r="460" hidden="1">
      <c r="B460" s="446" t="s">
        <v>452</v>
      </c>
      <c r="C460" s="104">
        <v>34.0</v>
      </c>
      <c r="D460" s="449" t="s">
        <v>193</v>
      </c>
      <c r="E460" s="104" t="s">
        <v>737</v>
      </c>
      <c r="F460" s="60">
        <v>0.0</v>
      </c>
      <c r="G460" s="227">
        <f>F460*9</f>
        <v>0</v>
      </c>
      <c r="H460" s="448">
        <v>0.5</v>
      </c>
      <c r="I460" s="228">
        <f>G460*H460</f>
        <v>0</v>
      </c>
      <c r="J460" s="374" t="s">
        <v>310</v>
      </c>
      <c r="K460" s="11" t="s">
        <v>138</v>
      </c>
      <c r="AC460" s="12"/>
      <c r="AF460" s="469">
        <f>I460</f>
        <v>0</v>
      </c>
      <c r="AN460" s="12"/>
      <c r="AO460" s="12"/>
      <c r="AP460" s="12"/>
      <c r="AQ460" s="12"/>
      <c r="AR460" s="12"/>
      <c r="AS460" s="12"/>
    </row>
    <row r="461" hidden="1">
      <c r="B461" s="103"/>
      <c r="C461" s="104"/>
      <c r="D461" s="104"/>
      <c r="E461" s="104"/>
      <c r="F461" s="60">
        <v>0.0</v>
      </c>
      <c r="G461" s="227"/>
      <c r="H461" s="106"/>
      <c r="I461" s="228"/>
      <c r="J461" s="572"/>
      <c r="K461" s="11"/>
      <c r="AC461" s="12"/>
      <c r="AF461" s="398">
        <f>AF460*0.1</f>
        <v>0</v>
      </c>
      <c r="AN461" s="12"/>
      <c r="AO461" s="12"/>
      <c r="AP461" s="12"/>
      <c r="AQ461" s="12"/>
      <c r="AR461" s="12"/>
      <c r="AS461" s="12"/>
    </row>
    <row r="462" hidden="1">
      <c r="A462" s="16"/>
      <c r="B462" s="169" t="s">
        <v>738</v>
      </c>
      <c r="C462" s="170">
        <v>35.0</v>
      </c>
      <c r="D462" s="170" t="s">
        <v>343</v>
      </c>
      <c r="E462" s="170" t="s">
        <v>739</v>
      </c>
      <c r="F462" s="462">
        <v>0.0</v>
      </c>
      <c r="G462" s="205">
        <f>F462*40</f>
        <v>0</v>
      </c>
      <c r="H462" s="173">
        <v>0.4</v>
      </c>
      <c r="I462" s="207">
        <f>G462*H462</f>
        <v>0</v>
      </c>
      <c r="J462" s="338" t="s">
        <v>310</v>
      </c>
      <c r="K462" s="11"/>
      <c r="L462" s="16"/>
      <c r="M462" s="16"/>
      <c r="N462" s="16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F462" s="469">
        <f>I462*10%</f>
        <v>0</v>
      </c>
      <c r="AG462" s="469">
        <f>I462*5%</f>
        <v>0</v>
      </c>
      <c r="AH462" s="469">
        <f>I462*10%</f>
        <v>0</v>
      </c>
      <c r="AI462" s="469">
        <f>I462*45%</f>
        <v>0</v>
      </c>
      <c r="AJ462" s="469"/>
      <c r="AK462" s="469">
        <f>I462*10%</f>
        <v>0</v>
      </c>
      <c r="AL462" s="469">
        <f>I462*20%</f>
        <v>0</v>
      </c>
    </row>
    <row r="463" hidden="1">
      <c r="A463" s="16"/>
      <c r="B463" s="169"/>
      <c r="C463" s="170"/>
      <c r="D463" s="170"/>
      <c r="E463" s="170"/>
      <c r="F463" s="462">
        <v>0.0</v>
      </c>
      <c r="G463" s="205"/>
      <c r="H463" s="173"/>
      <c r="I463" s="207"/>
      <c r="J463" s="338"/>
      <c r="K463" s="11"/>
      <c r="L463" s="16"/>
      <c r="M463" s="16"/>
      <c r="N463" s="16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F463" s="386"/>
      <c r="AG463" s="386"/>
      <c r="AH463" s="386">
        <f>F463*H462*18</f>
        <v>0</v>
      </c>
      <c r="AI463" s="386">
        <f>F463*H462*91</f>
        <v>0</v>
      </c>
      <c r="AJ463" s="386">
        <f>F463*H462*42</f>
        <v>0</v>
      </c>
      <c r="AK463" s="589">
        <f>F463*H462*54</f>
        <v>0</v>
      </c>
      <c r="AL463" s="589">
        <f>F463*H462*9</f>
        <v>0</v>
      </c>
    </row>
    <row r="464" hidden="1">
      <c r="A464" s="16"/>
      <c r="B464" s="213" t="s">
        <v>131</v>
      </c>
      <c r="C464" s="170"/>
      <c r="D464" s="170" t="s">
        <v>740</v>
      </c>
      <c r="E464" s="170" t="s">
        <v>741</v>
      </c>
      <c r="F464" s="462">
        <f>AD2</f>
        <v>0</v>
      </c>
      <c r="G464" s="205">
        <f>F464*60</f>
        <v>0</v>
      </c>
      <c r="H464" s="173">
        <v>0.15</v>
      </c>
      <c r="I464" s="207">
        <f>G464*H464</f>
        <v>0</v>
      </c>
      <c r="J464" s="161" t="s">
        <v>15</v>
      </c>
      <c r="K464" s="590">
        <v>0.5</v>
      </c>
      <c r="L464" s="16"/>
      <c r="M464" s="16"/>
      <c r="N464" s="16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E464" s="469" t="str">
        <f t="shared" ref="AE464:AF464" si="43">#REF!*#REF!*20%*20%</f>
        <v>#REF!</v>
      </c>
      <c r="AF464" s="469" t="str">
        <f t="shared" si="43"/>
        <v>#REF!</v>
      </c>
      <c r="AJ464" s="469"/>
      <c r="AK464" s="469" t="str">
        <f>#REF!*#REF!*15%*20%+#REF!*#REF!*50%*80%</f>
        <v>#REF!</v>
      </c>
      <c r="AL464" s="469" t="str">
        <f>#REF!*#REF!*15%*20%</f>
        <v>#REF!</v>
      </c>
      <c r="AM464" s="469" t="str">
        <f>#REF!*#REF!*10%*20%+#REF!*#REF!*30%*80%</f>
        <v>#REF!</v>
      </c>
      <c r="AN464" s="579"/>
    </row>
    <row r="465" hidden="1">
      <c r="A465" s="16"/>
      <c r="B465" s="169"/>
      <c r="C465" s="170"/>
      <c r="D465" s="170"/>
      <c r="E465" s="170"/>
      <c r="F465" s="462">
        <f>AD2</f>
        <v>0</v>
      </c>
      <c r="G465" s="205"/>
      <c r="H465" s="173"/>
      <c r="I465" s="207"/>
      <c r="J465" s="161"/>
      <c r="K465" s="11"/>
      <c r="L465" s="16"/>
      <c r="M465" s="16"/>
      <c r="N465" s="16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E465" s="398" t="str">
        <f>#REF!*70%*93%</f>
        <v>#REF!</v>
      </c>
      <c r="AF465" s="398" t="str">
        <f>AE464*70%*93%</f>
        <v>#REF!</v>
      </c>
      <c r="AJ465" s="398" t="str">
        <f>AF464*70%*93%</f>
        <v>#REF!</v>
      </c>
      <c r="AK465" s="398">
        <f t="shared" ref="AK465:AN465" si="44">AJ464*70%*93%</f>
        <v>0</v>
      </c>
      <c r="AL465" s="398" t="str">
        <f t="shared" si="44"/>
        <v>#REF!</v>
      </c>
      <c r="AM465" s="398" t="str">
        <f t="shared" si="44"/>
        <v>#REF!</v>
      </c>
      <c r="AN465" s="398" t="str">
        <f t="shared" si="44"/>
        <v>#REF!</v>
      </c>
    </row>
    <row r="466" hidden="1">
      <c r="A466" s="16"/>
      <c r="B466" s="213" t="s">
        <v>452</v>
      </c>
      <c r="C466" s="170"/>
      <c r="D466" s="170" t="s">
        <v>653</v>
      </c>
      <c r="E466" s="170" t="s">
        <v>742</v>
      </c>
      <c r="F466" s="462">
        <f>AD2</f>
        <v>0</v>
      </c>
      <c r="G466" s="205">
        <f>F466*50</f>
        <v>0</v>
      </c>
      <c r="H466" s="173">
        <v>0.15</v>
      </c>
      <c r="I466" s="207">
        <f>G466*H466</f>
        <v>0</v>
      </c>
      <c r="J466" s="161" t="s">
        <v>15</v>
      </c>
      <c r="K466" s="590">
        <v>0.5</v>
      </c>
      <c r="L466" s="16"/>
      <c r="M466" s="16"/>
      <c r="N466" s="16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E466" s="469" t="str">
        <f>#REF!*#REF!*20%*20%+#REF!*#REF!*20%*80%</f>
        <v>#REF!</v>
      </c>
      <c r="AF466" s="469" t="str">
        <f>#REF!*#REF!*20%*20%</f>
        <v>#REF!</v>
      </c>
      <c r="AJ466" s="469" t="str">
        <f>#REF!*#REF!*20%*20%</f>
        <v>#REF!</v>
      </c>
      <c r="AK466" s="469"/>
      <c r="AL466" s="469" t="str">
        <f>#REF!*#REF!*15%*20%+#REF!*#REF!*50%*80%</f>
        <v>#REF!</v>
      </c>
      <c r="AM466" s="469" t="str">
        <f>#REF!*#REF!*15%*20%</f>
        <v>#REF!</v>
      </c>
      <c r="AN466" s="469" t="str">
        <f>#REF!*#REF!*10%*20%+#REF!*#REF!*30%*80%</f>
        <v>#REF!</v>
      </c>
    </row>
    <row r="467" hidden="1">
      <c r="A467" s="16"/>
      <c r="B467" s="169"/>
      <c r="C467" s="170"/>
      <c r="D467" s="170"/>
      <c r="E467" s="170"/>
      <c r="F467" s="462">
        <f>AD2</f>
        <v>0</v>
      </c>
      <c r="G467" s="205"/>
      <c r="H467" s="173"/>
      <c r="I467" s="207"/>
      <c r="J467" s="161"/>
      <c r="K467" s="11"/>
      <c r="L467" s="16"/>
      <c r="M467" s="16"/>
      <c r="N467" s="16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E467" s="398"/>
      <c r="AF467" s="398" t="str">
        <f>AE466*70%*93%</f>
        <v>#REF!</v>
      </c>
      <c r="AJ467" s="398" t="str">
        <f t="shared" ref="AJ467:AK467" si="45">AE466*70%*93%</f>
        <v>#REF!</v>
      </c>
      <c r="AK467" s="398" t="str">
        <f t="shared" si="45"/>
        <v>#REF!</v>
      </c>
      <c r="AL467" s="398" t="str">
        <f t="shared" ref="AL467:AN467" si="46">AJ466*70%*93%</f>
        <v>#REF!</v>
      </c>
      <c r="AM467" s="398">
        <f t="shared" si="46"/>
        <v>0</v>
      </c>
      <c r="AN467" s="398" t="str">
        <f t="shared" si="46"/>
        <v>#REF!</v>
      </c>
    </row>
    <row r="468" hidden="1">
      <c r="A468" s="16"/>
      <c r="B468" s="424" t="s">
        <v>460</v>
      </c>
      <c r="C468" s="170">
        <v>40.0</v>
      </c>
      <c r="D468" s="209" t="s">
        <v>743</v>
      </c>
      <c r="E468" s="209" t="s">
        <v>744</v>
      </c>
      <c r="F468" s="462">
        <v>0.0</v>
      </c>
      <c r="G468" s="420">
        <f>F468*29</f>
        <v>0</v>
      </c>
      <c r="H468" s="421">
        <v>0.15</v>
      </c>
      <c r="I468" s="385">
        <f>G468*H468</f>
        <v>0</v>
      </c>
      <c r="J468" s="159" t="s">
        <v>80</v>
      </c>
      <c r="K468" s="11"/>
      <c r="L468" s="16"/>
      <c r="M468" s="16"/>
      <c r="N468" s="16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F468" s="471">
        <f>I468*10%</f>
        <v>0</v>
      </c>
      <c r="AJ468" s="471">
        <f>I468*5%</f>
        <v>0</v>
      </c>
      <c r="AK468" s="471">
        <f>I468*10%</f>
        <v>0</v>
      </c>
      <c r="AL468" s="471">
        <f>I468*45%</f>
        <v>0</v>
      </c>
      <c r="AM468" s="471"/>
      <c r="AN468" s="471">
        <f>I468*10%</f>
        <v>0</v>
      </c>
      <c r="AO468" s="471">
        <f>I468*20%</f>
        <v>0</v>
      </c>
      <c r="AP468" s="12"/>
      <c r="AQ468" s="12"/>
      <c r="AR468" s="12"/>
      <c r="AS468" s="12"/>
    </row>
    <row r="469" hidden="1">
      <c r="A469" s="16"/>
      <c r="B469" s="248"/>
      <c r="C469" s="170"/>
      <c r="D469" s="170"/>
      <c r="E469" s="170"/>
      <c r="F469" s="473">
        <v>0.0</v>
      </c>
      <c r="G469" s="575"/>
      <c r="H469" s="310"/>
      <c r="I469" s="576"/>
      <c r="J469" s="338"/>
      <c r="K469" s="11"/>
      <c r="L469" s="16"/>
      <c r="M469" s="16"/>
      <c r="N469" s="16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F469" s="386"/>
      <c r="AJ469" s="386"/>
      <c r="AK469" s="386">
        <f>F469*H468*18</f>
        <v>0</v>
      </c>
      <c r="AL469" s="386">
        <f>F469*H468*91</f>
        <v>0</v>
      </c>
      <c r="AM469" s="386">
        <f>F469*H468*42</f>
        <v>0</v>
      </c>
      <c r="AN469" s="589">
        <f>F469*H468*54</f>
        <v>0</v>
      </c>
      <c r="AO469" s="589">
        <f>F469*H468*9</f>
        <v>0</v>
      </c>
      <c r="AP469" s="12"/>
      <c r="AQ469" s="12"/>
      <c r="AR469" s="12"/>
      <c r="AS469" s="12"/>
    </row>
    <row r="470" hidden="1">
      <c r="B470" s="474" t="s">
        <v>460</v>
      </c>
      <c r="C470" s="209"/>
      <c r="D470" s="209" t="s">
        <v>71</v>
      </c>
      <c r="E470" s="209" t="s">
        <v>745</v>
      </c>
      <c r="F470" s="462">
        <v>0.0</v>
      </c>
      <c r="G470" s="463">
        <f>F470*2000</f>
        <v>0</v>
      </c>
      <c r="H470" s="421">
        <v>0.15</v>
      </c>
      <c r="I470" s="209">
        <f>G470*H470</f>
        <v>0</v>
      </c>
      <c r="J470" s="159" t="s">
        <v>80</v>
      </c>
      <c r="K470" s="590">
        <v>0.5</v>
      </c>
      <c r="AF470" s="469">
        <f>F470*I470*20%*20%+F470*I470*20%*80%</f>
        <v>0</v>
      </c>
      <c r="AJ470" s="469">
        <f>F470*I470*20%*20%</f>
        <v>0</v>
      </c>
      <c r="AK470" s="469">
        <f>F470*I470*20%*20%</f>
        <v>0</v>
      </c>
      <c r="AL470" s="469"/>
      <c r="AM470" s="469">
        <f>F470*I470*15%*20%+F470*I470*50%*80%</f>
        <v>0</v>
      </c>
      <c r="AN470" s="469">
        <f>F470*I470*15%*20%</f>
        <v>0</v>
      </c>
      <c r="AO470" s="469">
        <f>F470*I470*10%*20%+F470*I470*30%*80%</f>
        <v>0</v>
      </c>
      <c r="AP470" s="12"/>
      <c r="AQ470" s="12"/>
      <c r="AR470" s="12"/>
      <c r="AS470" s="12"/>
    </row>
    <row r="471" hidden="1">
      <c r="B471" s="248"/>
      <c r="C471" s="170"/>
      <c r="D471" s="170"/>
      <c r="E471" s="170"/>
      <c r="F471" s="473">
        <v>0.0</v>
      </c>
      <c r="G471" s="309"/>
      <c r="H471" s="310"/>
      <c r="I471" s="149"/>
      <c r="J471" s="338"/>
      <c r="AF471" s="398"/>
      <c r="AJ471" s="398">
        <f>AF470*70%*93%</f>
        <v>0</v>
      </c>
      <c r="AK471" s="398">
        <f t="shared" ref="AK471:AM471" si="47">AM470*70%*93%</f>
        <v>0</v>
      </c>
      <c r="AL471" s="398">
        <f t="shared" si="47"/>
        <v>0</v>
      </c>
      <c r="AM471" s="398">
        <f t="shared" si="47"/>
        <v>0</v>
      </c>
      <c r="AN471" s="398">
        <f t="shared" ref="AN471:AO471" si="48">AM470*70%*93%</f>
        <v>0</v>
      </c>
      <c r="AO471" s="398">
        <f t="shared" si="48"/>
        <v>0</v>
      </c>
      <c r="AP471" s="12"/>
      <c r="AQ471" s="12"/>
      <c r="AR471" s="12"/>
      <c r="AS471" s="12"/>
    </row>
    <row r="472" hidden="1">
      <c r="A472" s="16"/>
      <c r="B472" s="169" t="s">
        <v>460</v>
      </c>
      <c r="C472" s="170"/>
      <c r="D472" s="170" t="s">
        <v>193</v>
      </c>
      <c r="E472" s="170" t="s">
        <v>746</v>
      </c>
      <c r="F472" s="462">
        <v>0.0</v>
      </c>
      <c r="G472" s="205">
        <f>F472*350</f>
        <v>0</v>
      </c>
      <c r="H472" s="173">
        <v>0.25</v>
      </c>
      <c r="I472" s="207">
        <f>G472*H472</f>
        <v>0</v>
      </c>
      <c r="J472" s="338" t="s">
        <v>80</v>
      </c>
      <c r="K472" s="11"/>
      <c r="L472" s="16"/>
      <c r="M472" s="16"/>
      <c r="N472" s="16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AD472" s="577"/>
      <c r="AE472" s="577"/>
      <c r="AF472" s="469">
        <f>F472*I472*20%*20%+F472*I472*20%*80%</f>
        <v>0</v>
      </c>
      <c r="AJ472" s="469">
        <f>F472*I472*20%*20%</f>
        <v>0</v>
      </c>
      <c r="AK472" s="469">
        <f>F472*I472*20%*20%</f>
        <v>0</v>
      </c>
      <c r="AL472" s="469"/>
      <c r="AM472" s="469">
        <f>F472*I472*15%*20%+F472*I472*50%*80%</f>
        <v>0</v>
      </c>
      <c r="AN472" s="469">
        <f>F472*I472*15%*20%</f>
        <v>0</v>
      </c>
      <c r="AO472" s="469">
        <f>F472*I472*10%*20%+F472*I472*30%*80%</f>
        <v>0</v>
      </c>
      <c r="AP472" s="12"/>
      <c r="AQ472" s="12"/>
      <c r="AR472" s="12"/>
      <c r="AS472" s="12"/>
    </row>
    <row r="473" hidden="1">
      <c r="A473" s="16"/>
      <c r="B473" s="169"/>
      <c r="C473" s="170"/>
      <c r="D473" s="170"/>
      <c r="E473" s="170"/>
      <c r="F473" s="473">
        <v>0.0</v>
      </c>
      <c r="G473" s="575"/>
      <c r="H473" s="310"/>
      <c r="I473" s="576"/>
      <c r="J473" s="338"/>
      <c r="K473" s="11"/>
      <c r="L473" s="16"/>
      <c r="M473" s="16"/>
      <c r="N473" s="16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AD473" s="577"/>
      <c r="AE473" s="577"/>
      <c r="AF473" s="398"/>
      <c r="AJ473" s="398">
        <f>AF472*70%*93%</f>
        <v>0</v>
      </c>
      <c r="AK473" s="398">
        <f t="shared" ref="AK473:AM473" si="49">AM472*70%*93%</f>
        <v>0</v>
      </c>
      <c r="AL473" s="398">
        <f t="shared" si="49"/>
        <v>0</v>
      </c>
      <c r="AM473" s="398">
        <f t="shared" si="49"/>
        <v>0</v>
      </c>
      <c r="AN473" s="398">
        <f t="shared" ref="AN473:AO473" si="50">AM472*70%*93%</f>
        <v>0</v>
      </c>
      <c r="AO473" s="398">
        <f t="shared" si="50"/>
        <v>0</v>
      </c>
      <c r="AP473" s="12"/>
      <c r="AQ473" s="12"/>
      <c r="AR473" s="12"/>
      <c r="AS473" s="12"/>
    </row>
    <row r="474" hidden="1">
      <c r="A474" s="16"/>
      <c r="B474" s="213" t="s">
        <v>460</v>
      </c>
      <c r="C474" s="170"/>
      <c r="D474" s="170" t="s">
        <v>747</v>
      </c>
      <c r="E474" s="170" t="s">
        <v>748</v>
      </c>
      <c r="F474" s="462">
        <f>AD2</f>
        <v>0</v>
      </c>
      <c r="G474" s="205">
        <f>F474*45</f>
        <v>0</v>
      </c>
      <c r="H474" s="173">
        <v>0.25</v>
      </c>
      <c r="I474" s="207">
        <f>G474*H474</f>
        <v>0</v>
      </c>
      <c r="J474" s="338" t="s">
        <v>15</v>
      </c>
      <c r="K474" s="590"/>
      <c r="L474" s="16"/>
      <c r="M474" s="16"/>
      <c r="N474" s="16"/>
      <c r="O474" s="12"/>
      <c r="P474" s="12"/>
      <c r="Q474" s="12"/>
      <c r="R474" s="12"/>
      <c r="S474" s="12"/>
      <c r="T474" s="12"/>
      <c r="U474" s="12"/>
      <c r="V474" s="12"/>
      <c r="W474" s="16"/>
      <c r="X474" s="12"/>
      <c r="Y474" s="12"/>
      <c r="Z474" s="12"/>
      <c r="AB474" s="12"/>
      <c r="AC474" s="12"/>
      <c r="AD474" s="12"/>
      <c r="AE474" s="12"/>
      <c r="AJ474" s="471">
        <f>I474</f>
        <v>0</v>
      </c>
      <c r="AK474" s="471"/>
      <c r="AL474" s="12"/>
      <c r="AM474" s="12"/>
      <c r="AN474" s="12"/>
      <c r="AO474" s="12"/>
      <c r="AP474" s="578"/>
      <c r="AQ474" s="578"/>
      <c r="AR474" s="578"/>
      <c r="AS474" s="578"/>
    </row>
    <row r="475" hidden="1">
      <c r="A475" s="16"/>
      <c r="B475" s="169"/>
      <c r="C475" s="170"/>
      <c r="D475" s="170"/>
      <c r="E475" s="170"/>
      <c r="F475" s="462">
        <f>AD2</f>
        <v>0</v>
      </c>
      <c r="G475" s="205"/>
      <c r="H475" s="173"/>
      <c r="I475" s="207"/>
      <c r="J475" s="338"/>
      <c r="K475" s="590"/>
      <c r="L475" s="16"/>
      <c r="M475" s="16"/>
      <c r="N475" s="16"/>
      <c r="O475" s="12"/>
      <c r="P475" s="12"/>
      <c r="Q475" s="12"/>
      <c r="R475" s="12"/>
      <c r="S475" s="12"/>
      <c r="T475" s="12"/>
      <c r="U475" s="12"/>
      <c r="V475" s="12"/>
      <c r="W475" s="16"/>
      <c r="X475" s="12"/>
      <c r="Y475" s="12"/>
      <c r="Z475" s="12"/>
      <c r="AB475" s="12"/>
      <c r="AC475" s="12"/>
      <c r="AD475" s="12"/>
      <c r="AE475" s="12"/>
      <c r="AJ475" s="535"/>
      <c r="AK475" s="535">
        <f>F474*H474*7.3</f>
        <v>0</v>
      </c>
      <c r="AL475" s="12"/>
      <c r="AM475" s="12"/>
      <c r="AN475" s="12"/>
      <c r="AO475" s="12"/>
      <c r="AP475" s="578"/>
      <c r="AQ475" s="578"/>
      <c r="AR475" s="578"/>
      <c r="AS475" s="578"/>
    </row>
    <row r="476" hidden="1">
      <c r="A476" s="16"/>
      <c r="B476" s="213" t="s">
        <v>463</v>
      </c>
      <c r="C476" s="170"/>
      <c r="D476" s="170" t="s">
        <v>522</v>
      </c>
      <c r="E476" s="170" t="s">
        <v>749</v>
      </c>
      <c r="F476" s="462">
        <v>0.0</v>
      </c>
      <c r="G476" s="172">
        <f>F476*300</f>
        <v>0</v>
      </c>
      <c r="H476" s="173">
        <v>0.05</v>
      </c>
      <c r="I476" s="170">
        <f>G476*H476</f>
        <v>0</v>
      </c>
      <c r="J476" s="338" t="s">
        <v>15</v>
      </c>
      <c r="K476" s="590">
        <v>0.5</v>
      </c>
      <c r="L476" s="16"/>
      <c r="M476" s="16"/>
      <c r="N476" s="16"/>
      <c r="O476" s="12"/>
      <c r="P476" s="12"/>
      <c r="Q476" s="12"/>
      <c r="R476" s="12"/>
      <c r="S476" s="12"/>
      <c r="T476" s="12"/>
      <c r="U476" s="12"/>
      <c r="V476" s="12"/>
      <c r="W476" s="16"/>
      <c r="X476" s="12"/>
      <c r="Y476" s="12"/>
      <c r="Z476" s="12"/>
      <c r="AB476" s="12"/>
      <c r="AC476" s="12"/>
      <c r="AD476" s="12"/>
      <c r="AE476" s="12"/>
      <c r="AK476" s="469">
        <f>F476*I476*20%*20%+F476*I476*20%*80%</f>
        <v>0</v>
      </c>
      <c r="AL476" s="469">
        <f>F476*I476*20%*20%</f>
        <v>0</v>
      </c>
      <c r="AM476" s="469"/>
      <c r="AN476" s="469">
        <f>F476*I476*15%*20%+F476*I476*50%*80%</f>
        <v>0</v>
      </c>
      <c r="AO476" s="469">
        <f>F476*I476*15%*20%</f>
        <v>0</v>
      </c>
      <c r="AP476" s="578"/>
      <c r="AQ476" s="578"/>
      <c r="AR476" s="578"/>
      <c r="AS476" s="578"/>
    </row>
    <row r="477" hidden="1">
      <c r="A477" s="16"/>
      <c r="B477" s="169"/>
      <c r="C477" s="170"/>
      <c r="D477" s="170"/>
      <c r="E477" s="170"/>
      <c r="F477" s="462">
        <v>0.0</v>
      </c>
      <c r="G477" s="172"/>
      <c r="H477" s="173"/>
      <c r="I477" s="170"/>
      <c r="J477" s="338"/>
      <c r="K477" s="11"/>
      <c r="L477" s="16"/>
      <c r="M477" s="16"/>
      <c r="N477" s="16"/>
      <c r="O477" s="12"/>
      <c r="P477" s="12"/>
      <c r="Q477" s="12"/>
      <c r="R477" s="12"/>
      <c r="S477" s="12"/>
      <c r="T477" s="12"/>
      <c r="U477" s="12"/>
      <c r="V477" s="12"/>
      <c r="W477" s="16"/>
      <c r="X477" s="12"/>
      <c r="Y477" s="12"/>
      <c r="Z477" s="12"/>
      <c r="AB477" s="12"/>
      <c r="AC477" s="12"/>
      <c r="AD477" s="12"/>
      <c r="AE477" s="12"/>
      <c r="AK477" s="398"/>
      <c r="AL477" s="398" t="str">
        <f>#REF!*70%*93%</f>
        <v>#REF!</v>
      </c>
      <c r="AM477" s="398">
        <f>AO476*70%*93%</f>
        <v>0</v>
      </c>
      <c r="AN477" s="398">
        <f t="shared" ref="AN477:AO477" si="51">AM476*70%*93%</f>
        <v>0</v>
      </c>
      <c r="AO477" s="398">
        <f t="shared" si="51"/>
        <v>0</v>
      </c>
      <c r="AP477" s="591"/>
      <c r="AQ477" s="591"/>
      <c r="AR477" s="591"/>
      <c r="AS477" s="591"/>
    </row>
    <row r="478" hidden="1">
      <c r="A478" s="16"/>
      <c r="B478" s="213" t="s">
        <v>460</v>
      </c>
      <c r="C478" s="170"/>
      <c r="D478" s="170" t="s">
        <v>750</v>
      </c>
      <c r="E478" s="170" t="s">
        <v>751</v>
      </c>
      <c r="F478" s="462">
        <f>AD2</f>
        <v>0</v>
      </c>
      <c r="G478" s="205">
        <f>F478*11</f>
        <v>0</v>
      </c>
      <c r="H478" s="173">
        <v>0.15</v>
      </c>
      <c r="I478" s="207">
        <f>G478*H478</f>
        <v>0</v>
      </c>
      <c r="J478" s="338" t="s">
        <v>15</v>
      </c>
      <c r="K478" s="83"/>
      <c r="L478" s="16"/>
      <c r="M478" s="16"/>
      <c r="N478" s="16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J478" s="471">
        <f>I478</f>
        <v>0</v>
      </c>
      <c r="AK478" s="471"/>
      <c r="AL478" s="12"/>
      <c r="AM478" s="12"/>
      <c r="AN478" s="12"/>
      <c r="AO478" s="12"/>
      <c r="AP478" s="12"/>
      <c r="AQ478" s="12"/>
      <c r="AR478" s="12"/>
      <c r="AS478" s="12"/>
    </row>
    <row r="479" hidden="1">
      <c r="A479" s="16"/>
      <c r="B479" s="169"/>
      <c r="C479" s="170"/>
      <c r="D479" s="170"/>
      <c r="E479" s="170"/>
      <c r="F479" s="463">
        <f>AD2</f>
        <v>0</v>
      </c>
      <c r="G479" s="205"/>
      <c r="H479" s="173"/>
      <c r="I479" s="207"/>
      <c r="J479" s="338"/>
      <c r="K479" s="83"/>
      <c r="L479" s="16"/>
      <c r="M479" s="16"/>
      <c r="N479" s="16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J479" s="535"/>
      <c r="AK479" s="535">
        <f>F478*H478*7.3</f>
        <v>0</v>
      </c>
      <c r="AL479" s="12"/>
      <c r="AM479" s="12"/>
      <c r="AN479" s="12"/>
      <c r="AO479" s="12"/>
      <c r="AP479" s="12"/>
      <c r="AQ479" s="12"/>
      <c r="AR479" s="12"/>
      <c r="AS479" s="12"/>
    </row>
    <row r="480" hidden="1">
      <c r="A480" s="16"/>
      <c r="B480" s="210" t="s">
        <v>467</v>
      </c>
      <c r="C480" s="170">
        <v>43.0</v>
      </c>
      <c r="D480" s="170" t="s">
        <v>71</v>
      </c>
      <c r="E480" s="170" t="s">
        <v>752</v>
      </c>
      <c r="F480" s="462">
        <v>0.0</v>
      </c>
      <c r="G480" s="205">
        <f>F480*736</f>
        <v>0</v>
      </c>
      <c r="H480" s="173">
        <v>0.6</v>
      </c>
      <c r="I480" s="207">
        <f>G480*H480</f>
        <v>0</v>
      </c>
      <c r="J480" s="338" t="s">
        <v>55</v>
      </c>
      <c r="K480" s="11" t="s">
        <v>642</v>
      </c>
      <c r="L480" s="16"/>
      <c r="M480" s="16"/>
      <c r="N480" s="16"/>
      <c r="O480" s="12"/>
      <c r="P480" s="12"/>
      <c r="Q480" s="12"/>
      <c r="R480" s="12"/>
      <c r="S480" s="12"/>
      <c r="T480" s="12"/>
      <c r="U480" s="12"/>
      <c r="V480" s="12"/>
      <c r="W480" s="16"/>
      <c r="X480" s="12"/>
      <c r="Y480" s="12"/>
      <c r="Z480" s="12"/>
      <c r="AK480" s="469">
        <f>I480*10%</f>
        <v>0</v>
      </c>
      <c r="AL480" s="469">
        <f>I480*5%</f>
        <v>0</v>
      </c>
      <c r="AM480" s="469">
        <f>I480*10%</f>
        <v>0</v>
      </c>
      <c r="AN480" s="469">
        <f>I480*45%</f>
        <v>0</v>
      </c>
      <c r="AO480" s="469"/>
      <c r="AP480" s="469">
        <f>I480*10%</f>
        <v>0</v>
      </c>
      <c r="AQ480" s="469">
        <f>I480*20%</f>
        <v>0</v>
      </c>
    </row>
    <row r="481" hidden="1">
      <c r="A481" s="16"/>
      <c r="B481" s="169"/>
      <c r="C481" s="170"/>
      <c r="D481" s="170"/>
      <c r="E481" s="170"/>
      <c r="F481" s="462">
        <v>0.0</v>
      </c>
      <c r="G481" s="205"/>
      <c r="H481" s="173"/>
      <c r="I481" s="207"/>
      <c r="J481" s="338"/>
      <c r="K481" s="11"/>
      <c r="L481" s="16"/>
      <c r="M481" s="16"/>
      <c r="N481" s="16"/>
      <c r="O481" s="12"/>
      <c r="P481" s="12"/>
      <c r="Q481" s="12"/>
      <c r="R481" s="12"/>
      <c r="S481" s="12"/>
      <c r="T481" s="12"/>
      <c r="U481" s="12"/>
      <c r="V481" s="12"/>
      <c r="W481" s="16"/>
      <c r="X481" s="12"/>
      <c r="Y481" s="12"/>
      <c r="Z481" s="12"/>
      <c r="AK481" s="386"/>
      <c r="AL481" s="386"/>
      <c r="AM481" s="386">
        <f>F481*H480*18</f>
        <v>0</v>
      </c>
      <c r="AN481" s="386">
        <f>F481*H480*91</f>
        <v>0</v>
      </c>
      <c r="AO481" s="386">
        <f>F481*H480*42</f>
        <v>0</v>
      </c>
      <c r="AP481" s="589">
        <f>F481*H480*54</f>
        <v>0</v>
      </c>
      <c r="AQ481" s="589">
        <f>F481*H480*9</f>
        <v>0</v>
      </c>
    </row>
    <row r="482" hidden="1">
      <c r="A482" s="16"/>
      <c r="B482" s="270" t="s">
        <v>463</v>
      </c>
      <c r="C482" s="170"/>
      <c r="D482" s="170" t="s">
        <v>256</v>
      </c>
      <c r="E482" s="170" t="s">
        <v>753</v>
      </c>
      <c r="F482" s="462">
        <f>AD2</f>
        <v>0</v>
      </c>
      <c r="G482" s="205">
        <f>F482*10</f>
        <v>0</v>
      </c>
      <c r="H482" s="173">
        <v>0.25</v>
      </c>
      <c r="I482" s="207">
        <f>G482*H482</f>
        <v>0</v>
      </c>
      <c r="J482" s="338" t="s">
        <v>15</v>
      </c>
      <c r="K482" s="11"/>
      <c r="L482" s="16"/>
      <c r="M482" s="16"/>
      <c r="N482" s="16"/>
      <c r="O482" s="12"/>
      <c r="P482" s="12"/>
      <c r="Q482" s="12"/>
      <c r="R482" s="12"/>
      <c r="S482" s="12"/>
      <c r="T482" s="12"/>
      <c r="U482" s="12"/>
      <c r="V482" s="12"/>
      <c r="W482" s="16"/>
      <c r="X482" s="12"/>
      <c r="Y482" s="12"/>
      <c r="Z482" s="12"/>
      <c r="AB482" s="12"/>
      <c r="AC482" s="12"/>
      <c r="AD482" s="12"/>
      <c r="AE482" s="12"/>
      <c r="AL482" s="469">
        <f>F482*I482*20%*20%+F482*I482*20%*80%</f>
        <v>0</v>
      </c>
      <c r="AM482" s="469">
        <f>F482*I482*20%*20%</f>
        <v>0</v>
      </c>
      <c r="AN482" s="469">
        <f>F482*I482*20%*20%</f>
        <v>0</v>
      </c>
      <c r="AO482" s="469"/>
      <c r="AP482" s="469">
        <f>F482*I482*15%*20%+F482*I482*50%*80%</f>
        <v>0</v>
      </c>
      <c r="AQ482" s="469">
        <f>F482*I482*15%*20%</f>
        <v>0</v>
      </c>
      <c r="AR482" s="469">
        <f>F482*I482*10%*20%+F482*I482*30%*80%</f>
        <v>0</v>
      </c>
      <c r="AS482" s="579"/>
    </row>
    <row r="483" hidden="1">
      <c r="A483" s="16"/>
      <c r="B483" s="169"/>
      <c r="C483" s="170"/>
      <c r="D483" s="170"/>
      <c r="E483" s="170"/>
      <c r="F483" s="462">
        <f>AD2</f>
        <v>0</v>
      </c>
      <c r="G483" s="205"/>
      <c r="H483" s="173"/>
      <c r="I483" s="207"/>
      <c r="J483" s="338"/>
      <c r="K483" s="11"/>
      <c r="L483" s="16"/>
      <c r="M483" s="16"/>
      <c r="N483" s="16"/>
      <c r="O483" s="12"/>
      <c r="P483" s="12"/>
      <c r="Q483" s="12"/>
      <c r="R483" s="12"/>
      <c r="S483" s="12"/>
      <c r="T483" s="12"/>
      <c r="U483" s="12"/>
      <c r="V483" s="12"/>
      <c r="W483" s="16"/>
      <c r="X483" s="12"/>
      <c r="Y483" s="12"/>
      <c r="Z483" s="12"/>
      <c r="AB483" s="12"/>
      <c r="AC483" s="12"/>
      <c r="AD483" s="12"/>
      <c r="AE483" s="12"/>
      <c r="AL483" s="398"/>
      <c r="AM483" s="398">
        <f t="shared" ref="AM483:AQ483" si="52">AN482*70%*93%</f>
        <v>0</v>
      </c>
      <c r="AN483" s="398">
        <f t="shared" si="52"/>
        <v>0</v>
      </c>
      <c r="AO483" s="398">
        <f t="shared" si="52"/>
        <v>0</v>
      </c>
      <c r="AP483" s="398">
        <f t="shared" si="52"/>
        <v>0</v>
      </c>
      <c r="AQ483" s="398">
        <f t="shared" si="52"/>
        <v>0</v>
      </c>
      <c r="AR483" s="398">
        <f>AQ482*70%*93%</f>
        <v>0</v>
      </c>
      <c r="AS483" s="591"/>
    </row>
    <row r="484" hidden="1">
      <c r="A484" s="16"/>
      <c r="B484" s="270" t="s">
        <v>463</v>
      </c>
      <c r="C484" s="170"/>
      <c r="D484" s="170" t="s">
        <v>343</v>
      </c>
      <c r="E484" s="170" t="s">
        <v>754</v>
      </c>
      <c r="F484" s="462">
        <f>AD2</f>
        <v>0</v>
      </c>
      <c r="G484" s="205">
        <f>F484*50</f>
        <v>0</v>
      </c>
      <c r="H484" s="173">
        <v>0.15</v>
      </c>
      <c r="I484" s="207">
        <f>G484*H484</f>
        <v>0</v>
      </c>
      <c r="J484" s="338" t="s">
        <v>15</v>
      </c>
      <c r="K484" s="11"/>
      <c r="L484" s="16"/>
      <c r="M484" s="16"/>
      <c r="N484" s="16"/>
      <c r="O484" s="12"/>
      <c r="P484" s="12"/>
      <c r="Q484" s="12"/>
      <c r="R484" s="12"/>
      <c r="S484" s="12"/>
      <c r="T484" s="12"/>
      <c r="U484" s="12"/>
      <c r="V484" s="12"/>
      <c r="W484" s="16"/>
      <c r="X484" s="12"/>
      <c r="Y484" s="12"/>
      <c r="Z484" s="12"/>
      <c r="AB484" s="12"/>
      <c r="AC484" s="12"/>
      <c r="AD484" s="12"/>
      <c r="AE484" s="12"/>
      <c r="AL484" s="469">
        <f>F484*I484*20%*20%+F484*I484*20%*80%</f>
        <v>0</v>
      </c>
      <c r="AM484" s="469">
        <f>F484*I484*20%*20%</f>
        <v>0</v>
      </c>
      <c r="AN484" s="469">
        <f>F484*I484*20%*20%</f>
        <v>0</v>
      </c>
      <c r="AO484" s="469"/>
      <c r="AP484" s="469">
        <f>F484*I484*15%*20%+F484*I484*50%*80%</f>
        <v>0</v>
      </c>
      <c r="AQ484" s="469">
        <f>F484*I484*15%*20%</f>
        <v>0</v>
      </c>
      <c r="AR484" s="469">
        <f>F484*I484*10%*20%+F484*I484*30%*80%</f>
        <v>0</v>
      </c>
      <c r="AS484" s="579"/>
    </row>
    <row r="485" hidden="1">
      <c r="A485" s="16"/>
      <c r="B485" s="169"/>
      <c r="C485" s="170"/>
      <c r="D485" s="170"/>
      <c r="E485" s="170"/>
      <c r="F485" s="462">
        <f>AD2</f>
        <v>0</v>
      </c>
      <c r="G485" s="205"/>
      <c r="H485" s="173"/>
      <c r="I485" s="207"/>
      <c r="J485" s="338"/>
      <c r="K485" s="11"/>
      <c r="L485" s="16"/>
      <c r="M485" s="16"/>
      <c r="N485" s="16"/>
      <c r="O485" s="12"/>
      <c r="P485" s="12"/>
      <c r="Q485" s="12"/>
      <c r="R485" s="12"/>
      <c r="S485" s="12"/>
      <c r="T485" s="12"/>
      <c r="U485" s="12"/>
      <c r="V485" s="12"/>
      <c r="W485" s="16"/>
      <c r="X485" s="12"/>
      <c r="Y485" s="12"/>
      <c r="Z485" s="12"/>
      <c r="AB485" s="12"/>
      <c r="AC485" s="12"/>
      <c r="AD485" s="12"/>
      <c r="AE485" s="12"/>
      <c r="AL485" s="398"/>
      <c r="AM485" s="398">
        <f t="shared" ref="AM485:AQ485" si="53">AN484*70%*93%</f>
        <v>0</v>
      </c>
      <c r="AN485" s="398">
        <f t="shared" si="53"/>
        <v>0</v>
      </c>
      <c r="AO485" s="398">
        <f t="shared" si="53"/>
        <v>0</v>
      </c>
      <c r="AP485" s="398">
        <f t="shared" si="53"/>
        <v>0</v>
      </c>
      <c r="AQ485" s="398">
        <f t="shared" si="53"/>
        <v>0</v>
      </c>
      <c r="AR485" s="398">
        <f>AQ484*70%*93%</f>
        <v>0</v>
      </c>
      <c r="AS485" s="591"/>
    </row>
    <row r="486" hidden="1">
      <c r="A486" s="16"/>
      <c r="B486" s="270" t="s">
        <v>463</v>
      </c>
      <c r="C486" s="170"/>
      <c r="D486" s="170" t="s">
        <v>271</v>
      </c>
      <c r="E486" s="170" t="s">
        <v>755</v>
      </c>
      <c r="F486" s="462">
        <f>AD2</f>
        <v>0</v>
      </c>
      <c r="G486" s="205">
        <f>F486*20</f>
        <v>0</v>
      </c>
      <c r="H486" s="173">
        <v>0.15</v>
      </c>
      <c r="I486" s="207">
        <f>G486*H486</f>
        <v>0</v>
      </c>
      <c r="J486" s="338" t="s">
        <v>15</v>
      </c>
      <c r="K486" s="11"/>
      <c r="L486" s="16"/>
      <c r="M486" s="16"/>
      <c r="N486" s="16"/>
      <c r="O486" s="12"/>
      <c r="P486" s="12"/>
      <c r="Q486" s="12"/>
      <c r="R486" s="12"/>
      <c r="S486" s="12"/>
      <c r="T486" s="12"/>
      <c r="U486" s="12"/>
      <c r="V486" s="12"/>
      <c r="W486" s="16"/>
      <c r="X486" s="12"/>
      <c r="Y486" s="12"/>
      <c r="Z486" s="12"/>
      <c r="AB486" s="12"/>
      <c r="AC486" s="12"/>
      <c r="AD486" s="12"/>
      <c r="AE486" s="12"/>
      <c r="AL486" s="469">
        <f>F486*I486*20%*20%+F486*I486*20%*80%</f>
        <v>0</v>
      </c>
      <c r="AM486" s="469">
        <f>F486*I486*20%*20%</f>
        <v>0</v>
      </c>
      <c r="AN486" s="469">
        <f>F486*I486*20%*20%</f>
        <v>0</v>
      </c>
      <c r="AO486" s="469"/>
      <c r="AP486" s="469">
        <f>F486*I486*15%*20%+F486*I486*50%*80%</f>
        <v>0</v>
      </c>
      <c r="AQ486" s="469">
        <f>F486*I486*15%*20%</f>
        <v>0</v>
      </c>
      <c r="AR486" s="469">
        <f>F486*I486*10%*20%+F486*I486*30%*80%</f>
        <v>0</v>
      </c>
      <c r="AS486" s="579"/>
    </row>
    <row r="487" hidden="1">
      <c r="A487" s="16"/>
      <c r="B487" s="169"/>
      <c r="C487" s="170"/>
      <c r="D487" s="170"/>
      <c r="E487" s="170"/>
      <c r="F487" s="462">
        <f>AD2</f>
        <v>0</v>
      </c>
      <c r="G487" s="205"/>
      <c r="H487" s="173"/>
      <c r="I487" s="207"/>
      <c r="J487" s="338"/>
      <c r="K487" s="11"/>
      <c r="L487" s="16"/>
      <c r="M487" s="16"/>
      <c r="N487" s="16"/>
      <c r="O487" s="12"/>
      <c r="P487" s="12"/>
      <c r="Q487" s="12"/>
      <c r="R487" s="12"/>
      <c r="S487" s="12"/>
      <c r="T487" s="12"/>
      <c r="U487" s="12"/>
      <c r="V487" s="12"/>
      <c r="W487" s="16"/>
      <c r="X487" s="12"/>
      <c r="Y487" s="12"/>
      <c r="Z487" s="12"/>
      <c r="AB487" s="12"/>
      <c r="AC487" s="12"/>
      <c r="AD487" s="12"/>
      <c r="AE487" s="12"/>
      <c r="AL487" s="398"/>
      <c r="AM487" s="398">
        <f t="shared" ref="AM487:AQ487" si="54">AN486*70%*93%</f>
        <v>0</v>
      </c>
      <c r="AN487" s="398">
        <f t="shared" si="54"/>
        <v>0</v>
      </c>
      <c r="AO487" s="398">
        <f t="shared" si="54"/>
        <v>0</v>
      </c>
      <c r="AP487" s="398">
        <f t="shared" si="54"/>
        <v>0</v>
      </c>
      <c r="AQ487" s="398">
        <f t="shared" si="54"/>
        <v>0</v>
      </c>
      <c r="AR487" s="398">
        <f>AQ486*70%*93%</f>
        <v>0</v>
      </c>
      <c r="AS487" s="591"/>
    </row>
    <row r="488" hidden="1">
      <c r="A488" s="16"/>
      <c r="B488" s="270" t="s">
        <v>463</v>
      </c>
      <c r="C488" s="170"/>
      <c r="D488" s="170" t="s">
        <v>756</v>
      </c>
      <c r="E488" s="170" t="s">
        <v>757</v>
      </c>
      <c r="F488" s="462">
        <f>AD2</f>
        <v>0</v>
      </c>
      <c r="G488" s="205">
        <f>F488*30</f>
        <v>0</v>
      </c>
      <c r="H488" s="173">
        <v>0.15</v>
      </c>
      <c r="I488" s="207">
        <f>G488*H488</f>
        <v>0</v>
      </c>
      <c r="J488" s="338" t="s">
        <v>15</v>
      </c>
      <c r="K488" s="11"/>
      <c r="L488" s="16"/>
      <c r="M488" s="16"/>
      <c r="N488" s="16"/>
      <c r="O488" s="12"/>
      <c r="P488" s="12"/>
      <c r="Q488" s="12"/>
      <c r="R488" s="12"/>
      <c r="S488" s="12"/>
      <c r="T488" s="12"/>
      <c r="U488" s="12"/>
      <c r="V488" s="12"/>
      <c r="W488" s="16"/>
      <c r="X488" s="12"/>
      <c r="Y488" s="12"/>
      <c r="Z488" s="12"/>
      <c r="AB488" s="12"/>
      <c r="AC488" s="12"/>
      <c r="AD488" s="12"/>
      <c r="AE488" s="12"/>
      <c r="AL488" s="469">
        <f>F488*I488*20%*20%+F488*I488*20%*80%</f>
        <v>0</v>
      </c>
      <c r="AM488" s="469">
        <f>F488*I488*20%*20%</f>
        <v>0</v>
      </c>
      <c r="AN488" s="469">
        <f>F488*I488*20%*20%</f>
        <v>0</v>
      </c>
      <c r="AO488" s="469"/>
      <c r="AP488" s="469">
        <f>F488*I488*15%*20%+F488*I488*50%*80%</f>
        <v>0</v>
      </c>
      <c r="AQ488" s="469">
        <f>F488*I488*15%*20%</f>
        <v>0</v>
      </c>
      <c r="AR488" s="469">
        <f>F488*I488*10%*20%+F488*I488*30%*80%</f>
        <v>0</v>
      </c>
      <c r="AS488" s="579"/>
    </row>
    <row r="489" hidden="1">
      <c r="A489" s="16"/>
      <c r="B489" s="169"/>
      <c r="C489" s="170"/>
      <c r="D489" s="170"/>
      <c r="E489" s="170"/>
      <c r="F489" s="462">
        <f>AD2</f>
        <v>0</v>
      </c>
      <c r="G489" s="205"/>
      <c r="H489" s="173"/>
      <c r="I489" s="207"/>
      <c r="J489" s="338"/>
      <c r="K489" s="11"/>
      <c r="L489" s="16"/>
      <c r="M489" s="16"/>
      <c r="N489" s="16"/>
      <c r="O489" s="12"/>
      <c r="P489" s="12"/>
      <c r="Q489" s="12"/>
      <c r="R489" s="12"/>
      <c r="S489" s="12"/>
      <c r="T489" s="12"/>
      <c r="U489" s="12"/>
      <c r="V489" s="12"/>
      <c r="W489" s="16"/>
      <c r="X489" s="12"/>
      <c r="Y489" s="12"/>
      <c r="Z489" s="12"/>
      <c r="AB489" s="12"/>
      <c r="AC489" s="12"/>
      <c r="AD489" s="12"/>
      <c r="AE489" s="12"/>
      <c r="AL489" s="398"/>
      <c r="AM489" s="398">
        <f t="shared" ref="AM489:AQ489" si="55">AN488*70%*93%</f>
        <v>0</v>
      </c>
      <c r="AN489" s="398">
        <f t="shared" si="55"/>
        <v>0</v>
      </c>
      <c r="AO489" s="398">
        <f t="shared" si="55"/>
        <v>0</v>
      </c>
      <c r="AP489" s="398">
        <f t="shared" si="55"/>
        <v>0</v>
      </c>
      <c r="AQ489" s="398">
        <f t="shared" si="55"/>
        <v>0</v>
      </c>
      <c r="AR489" s="398">
        <f>AQ488*70%*93%</f>
        <v>0</v>
      </c>
      <c r="AS489" s="591"/>
    </row>
    <row r="490" hidden="1">
      <c r="A490" s="16"/>
      <c r="B490" s="270" t="s">
        <v>463</v>
      </c>
      <c r="C490" s="170"/>
      <c r="D490" s="170" t="s">
        <v>273</v>
      </c>
      <c r="E490" s="170" t="s">
        <v>274</v>
      </c>
      <c r="F490" s="462">
        <f>AD2</f>
        <v>0</v>
      </c>
      <c r="G490" s="205">
        <f>F490*30</f>
        <v>0</v>
      </c>
      <c r="H490" s="173">
        <v>0.15</v>
      </c>
      <c r="I490" s="207">
        <f>G490*H490</f>
        <v>0</v>
      </c>
      <c r="J490" s="338" t="s">
        <v>15</v>
      </c>
      <c r="K490" s="11"/>
      <c r="L490" s="16"/>
      <c r="M490" s="16"/>
      <c r="N490" s="16"/>
      <c r="O490" s="12"/>
      <c r="P490" s="12"/>
      <c r="Q490" s="12"/>
      <c r="R490" s="12"/>
      <c r="S490" s="12"/>
      <c r="T490" s="12"/>
      <c r="U490" s="12"/>
      <c r="V490" s="12"/>
      <c r="W490" s="16"/>
      <c r="X490" s="12"/>
      <c r="Y490" s="12"/>
      <c r="Z490" s="12"/>
      <c r="AB490" s="12"/>
      <c r="AC490" s="12"/>
      <c r="AD490" s="12"/>
      <c r="AE490" s="12"/>
      <c r="AL490" s="469">
        <f>F490*I490*20%*20%+F490*I490*20%*80%</f>
        <v>0</v>
      </c>
      <c r="AM490" s="469">
        <f>F490*I490*20%*20%</f>
        <v>0</v>
      </c>
      <c r="AN490" s="469">
        <f>F490*I490*20%*20%</f>
        <v>0</v>
      </c>
      <c r="AO490" s="469"/>
      <c r="AP490" s="469">
        <f>F490*I490*15%*20%+F490*I490*50%*80%</f>
        <v>0</v>
      </c>
      <c r="AQ490" s="469">
        <f>F490*I490*15%*20%</f>
        <v>0</v>
      </c>
      <c r="AR490" s="469">
        <f>F490*I490*10%*20%+F490*I490*30%*80%</f>
        <v>0</v>
      </c>
      <c r="AS490" s="579"/>
    </row>
    <row r="491" hidden="1">
      <c r="A491" s="16"/>
      <c r="B491" s="169"/>
      <c r="C491" s="170"/>
      <c r="D491" s="170"/>
      <c r="E491" s="170"/>
      <c r="F491" s="462">
        <f>AD2</f>
        <v>0</v>
      </c>
      <c r="G491" s="205"/>
      <c r="H491" s="173"/>
      <c r="I491" s="207"/>
      <c r="J491" s="338"/>
      <c r="K491" s="11"/>
      <c r="L491" s="16"/>
      <c r="M491" s="16"/>
      <c r="N491" s="16"/>
      <c r="O491" s="12"/>
      <c r="P491" s="12"/>
      <c r="Q491" s="12"/>
      <c r="R491" s="12"/>
      <c r="S491" s="12"/>
      <c r="T491" s="12"/>
      <c r="U491" s="12"/>
      <c r="V491" s="12"/>
      <c r="W491" s="16"/>
      <c r="X491" s="12"/>
      <c r="Y491" s="12"/>
      <c r="Z491" s="12"/>
      <c r="AB491" s="12"/>
      <c r="AC491" s="12"/>
      <c r="AD491" s="12"/>
      <c r="AE491" s="12"/>
      <c r="AL491" s="398"/>
      <c r="AM491" s="398">
        <f t="shared" ref="AM491:AQ491" si="56">AN490*70%*93%</f>
        <v>0</v>
      </c>
      <c r="AN491" s="398">
        <f t="shared" si="56"/>
        <v>0</v>
      </c>
      <c r="AO491" s="398">
        <f t="shared" si="56"/>
        <v>0</v>
      </c>
      <c r="AP491" s="398">
        <f t="shared" si="56"/>
        <v>0</v>
      </c>
      <c r="AQ491" s="398">
        <f t="shared" si="56"/>
        <v>0</v>
      </c>
      <c r="AR491" s="398">
        <f>AQ490*70%*93%</f>
        <v>0</v>
      </c>
      <c r="AS491" s="591"/>
    </row>
    <row r="492" hidden="1">
      <c r="A492" s="16"/>
      <c r="B492" s="213" t="s">
        <v>467</v>
      </c>
      <c r="C492" s="170"/>
      <c r="D492" s="170" t="s">
        <v>71</v>
      </c>
      <c r="E492" s="170" t="s">
        <v>752</v>
      </c>
      <c r="F492" s="462">
        <f>AD2</f>
        <v>0</v>
      </c>
      <c r="G492" s="205">
        <f>F492*400</f>
        <v>0</v>
      </c>
      <c r="H492" s="173">
        <v>0.15</v>
      </c>
      <c r="I492" s="207">
        <f>G492*H492</f>
        <v>0</v>
      </c>
      <c r="J492" s="338" t="s">
        <v>15</v>
      </c>
      <c r="K492" s="11" t="s">
        <v>75</v>
      </c>
      <c r="L492" s="16"/>
      <c r="M492" s="16"/>
      <c r="N492" s="16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M492" s="471">
        <f>I492*20%*33%+I492*20%*67%</f>
        <v>0</v>
      </c>
      <c r="AN492" s="471">
        <f>I492*20%*33%</f>
        <v>0</v>
      </c>
      <c r="AO492" s="471">
        <f>I492*25%*20%</f>
        <v>0</v>
      </c>
      <c r="AP492" s="471">
        <f>I492*80%*67%</f>
        <v>0</v>
      </c>
      <c r="AQ492" s="471">
        <f>I492*35%*33%</f>
        <v>0</v>
      </c>
      <c r="AR492" s="12"/>
      <c r="AS492" s="12"/>
    </row>
    <row r="493" hidden="1">
      <c r="A493" s="16"/>
      <c r="B493" s="169"/>
      <c r="C493" s="170"/>
      <c r="D493" s="170"/>
      <c r="E493" s="170"/>
      <c r="F493" s="463">
        <f>AD2</f>
        <v>0</v>
      </c>
      <c r="G493" s="205"/>
      <c r="H493" s="173"/>
      <c r="I493" s="207"/>
      <c r="J493" s="338"/>
      <c r="K493" s="11"/>
      <c r="L493" s="16"/>
      <c r="M493" s="16"/>
      <c r="N493" s="16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M493" s="535"/>
      <c r="AN493" s="535"/>
      <c r="AO493" s="535">
        <f>F492*H492*3</f>
        <v>0</v>
      </c>
      <c r="AP493" s="535">
        <f>F492*H492*4</f>
        <v>0</v>
      </c>
      <c r="AQ493" s="535">
        <f>F492*H492*37</f>
        <v>0</v>
      </c>
      <c r="AR493" s="12"/>
      <c r="AS493" s="12"/>
    </row>
    <row r="494" hidden="1">
      <c r="A494" s="16"/>
      <c r="B494" s="474" t="s">
        <v>467</v>
      </c>
      <c r="C494" s="170"/>
      <c r="D494" s="170" t="s">
        <v>758</v>
      </c>
      <c r="E494" s="170" t="s">
        <v>759</v>
      </c>
      <c r="F494" s="462">
        <f>AD2</f>
        <v>0</v>
      </c>
      <c r="G494" s="205">
        <f>F494*50</f>
        <v>0</v>
      </c>
      <c r="H494" s="173">
        <v>0.15</v>
      </c>
      <c r="I494" s="207">
        <f>G494*H494</f>
        <v>0</v>
      </c>
      <c r="J494" s="338" t="s">
        <v>15</v>
      </c>
      <c r="K494" s="11"/>
      <c r="L494" s="16"/>
      <c r="M494" s="16"/>
      <c r="N494" s="16"/>
      <c r="O494" s="12"/>
      <c r="P494" s="12"/>
      <c r="Q494" s="12"/>
      <c r="R494" s="12"/>
      <c r="S494" s="12"/>
      <c r="T494" s="12"/>
      <c r="U494" s="12"/>
      <c r="V494" s="12"/>
      <c r="W494" s="16"/>
      <c r="X494" s="12"/>
      <c r="Y494" s="12"/>
      <c r="Z494" s="12"/>
      <c r="AB494" s="12"/>
      <c r="AC494" s="12"/>
      <c r="AD494" s="12"/>
      <c r="AE494" s="12"/>
      <c r="AF494" s="12"/>
      <c r="AG494" s="12"/>
      <c r="AI494" s="469">
        <f>F494*I494*20%*20%+F494*I494*20%*80%</f>
        <v>0</v>
      </c>
      <c r="AJ494" s="469">
        <f>F494*I494*20%*20%</f>
        <v>0</v>
      </c>
      <c r="AK494" s="469">
        <f>F494*I494*20%*20%</f>
        <v>0</v>
      </c>
      <c r="AL494" s="469"/>
      <c r="AM494" s="469">
        <f>F494*I494*15%*20%+F494*I494*50%*80%</f>
        <v>0</v>
      </c>
      <c r="AN494" s="469">
        <f>F494*I494*15%*20%</f>
        <v>0</v>
      </c>
      <c r="AO494" s="469">
        <f>F494*I494*10%*20%+F494*I494*30%*80%</f>
        <v>0</v>
      </c>
      <c r="AP494" s="578"/>
      <c r="AQ494" s="578"/>
      <c r="AR494" s="578"/>
      <c r="AS494" s="578"/>
    </row>
    <row r="495" hidden="1">
      <c r="A495" s="16"/>
      <c r="B495" s="169"/>
      <c r="C495" s="170"/>
      <c r="D495" s="170"/>
      <c r="E495" s="170"/>
      <c r="F495" s="462">
        <f>AD2</f>
        <v>0</v>
      </c>
      <c r="G495" s="205"/>
      <c r="H495" s="173"/>
      <c r="I495" s="207"/>
      <c r="J495" s="338"/>
      <c r="K495" s="11"/>
      <c r="L495" s="16"/>
      <c r="M495" s="16"/>
      <c r="N495" s="16"/>
      <c r="O495" s="12"/>
      <c r="P495" s="12"/>
      <c r="Q495" s="12"/>
      <c r="R495" s="12"/>
      <c r="S495" s="12"/>
      <c r="T495" s="12"/>
      <c r="U495" s="12"/>
      <c r="V495" s="12"/>
      <c r="W495" s="16"/>
      <c r="X495" s="12"/>
      <c r="Y495" s="12"/>
      <c r="Z495" s="12"/>
      <c r="AB495" s="12"/>
      <c r="AC495" s="12"/>
      <c r="AD495" s="12"/>
      <c r="AE495" s="12"/>
      <c r="AF495" s="12"/>
      <c r="AG495" s="12"/>
      <c r="AI495" s="398"/>
      <c r="AJ495" s="398">
        <f t="shared" ref="AJ495:AP495" si="57">AI494*70%*93%</f>
        <v>0</v>
      </c>
      <c r="AK495" s="398">
        <f t="shared" si="57"/>
        <v>0</v>
      </c>
      <c r="AL495" s="398">
        <f t="shared" si="57"/>
        <v>0</v>
      </c>
      <c r="AM495" s="398">
        <f t="shared" si="57"/>
        <v>0</v>
      </c>
      <c r="AN495" s="398">
        <f t="shared" si="57"/>
        <v>0</v>
      </c>
      <c r="AO495" s="398">
        <f t="shared" si="57"/>
        <v>0</v>
      </c>
      <c r="AP495" s="398">
        <f t="shared" si="57"/>
        <v>0</v>
      </c>
      <c r="AQ495" s="591"/>
      <c r="AR495" s="591"/>
      <c r="AS495" s="591"/>
    </row>
    <row r="496" hidden="1">
      <c r="A496" s="16"/>
      <c r="B496" s="270" t="s">
        <v>467</v>
      </c>
      <c r="C496" s="170"/>
      <c r="D496" s="170" t="s">
        <v>271</v>
      </c>
      <c r="E496" s="170" t="s">
        <v>760</v>
      </c>
      <c r="F496" s="462">
        <f>AD2</f>
        <v>0</v>
      </c>
      <c r="G496" s="205">
        <f>F496*30</f>
        <v>0</v>
      </c>
      <c r="H496" s="173">
        <v>0.3</v>
      </c>
      <c r="I496" s="207">
        <f>G496*H496</f>
        <v>0</v>
      </c>
      <c r="J496" s="338" t="s">
        <v>15</v>
      </c>
      <c r="K496" s="11"/>
      <c r="L496" s="16"/>
      <c r="M496" s="16"/>
      <c r="N496" s="16"/>
      <c r="O496" s="12"/>
      <c r="P496" s="12"/>
      <c r="Q496" s="12"/>
      <c r="R496" s="12"/>
      <c r="S496" s="12"/>
      <c r="T496" s="12"/>
      <c r="U496" s="12"/>
      <c r="V496" s="12"/>
      <c r="W496" s="16"/>
      <c r="X496" s="12"/>
      <c r="Y496" s="12"/>
      <c r="Z496" s="12"/>
      <c r="AB496" s="12"/>
      <c r="AC496" s="12"/>
      <c r="AD496" s="12"/>
      <c r="AE496" s="12"/>
      <c r="AF496" s="12"/>
      <c r="AG496" s="12"/>
      <c r="AI496" s="469">
        <f>F496*I496*20%*20%+F496*I496*20%*80%</f>
        <v>0</v>
      </c>
      <c r="AJ496" s="469">
        <f>F496*I496*20%*20%</f>
        <v>0</v>
      </c>
      <c r="AK496" s="469">
        <f>F496*I496*20%*20%</f>
        <v>0</v>
      </c>
      <c r="AL496" s="469"/>
      <c r="AM496" s="469">
        <f>F496*I496*15%*20%+F496*I496*50%*80%</f>
        <v>0</v>
      </c>
      <c r="AN496" s="469">
        <f>F496*I496*15%*20%</f>
        <v>0</v>
      </c>
      <c r="AO496" s="469">
        <f>F496*I496*10%*20%+F496*I496*30%*80%</f>
        <v>0</v>
      </c>
      <c r="AP496" s="578"/>
      <c r="AQ496" s="578"/>
      <c r="AR496" s="578"/>
      <c r="AS496" s="578"/>
    </row>
    <row r="497" hidden="1">
      <c r="A497" s="16"/>
      <c r="B497" s="169"/>
      <c r="C497" s="170"/>
      <c r="D497" s="170"/>
      <c r="E497" s="170"/>
      <c r="F497" s="462">
        <f>AD2</f>
        <v>0</v>
      </c>
      <c r="G497" s="205"/>
      <c r="H497" s="173"/>
      <c r="I497" s="207"/>
      <c r="J497" s="338"/>
      <c r="K497" s="11"/>
      <c r="L497" s="16"/>
      <c r="M497" s="16"/>
      <c r="N497" s="16"/>
      <c r="O497" s="12"/>
      <c r="P497" s="12"/>
      <c r="Q497" s="12"/>
      <c r="R497" s="12"/>
      <c r="S497" s="12"/>
      <c r="T497" s="12"/>
      <c r="U497" s="12"/>
      <c r="V497" s="12"/>
      <c r="W497" s="16"/>
      <c r="X497" s="12"/>
      <c r="Y497" s="12"/>
      <c r="Z497" s="12"/>
      <c r="AB497" s="12"/>
      <c r="AC497" s="12"/>
      <c r="AD497" s="12"/>
      <c r="AE497" s="12"/>
      <c r="AF497" s="12"/>
      <c r="AG497" s="12"/>
      <c r="AI497" s="398"/>
      <c r="AJ497" s="398">
        <f t="shared" ref="AJ497:AP497" si="58">AI496*70%*93%</f>
        <v>0</v>
      </c>
      <c r="AK497" s="398">
        <f t="shared" si="58"/>
        <v>0</v>
      </c>
      <c r="AL497" s="398">
        <f t="shared" si="58"/>
        <v>0</v>
      </c>
      <c r="AM497" s="398">
        <f t="shared" si="58"/>
        <v>0</v>
      </c>
      <c r="AN497" s="398">
        <f t="shared" si="58"/>
        <v>0</v>
      </c>
      <c r="AO497" s="398">
        <f t="shared" si="58"/>
        <v>0</v>
      </c>
      <c r="AP497" s="398">
        <f t="shared" si="58"/>
        <v>0</v>
      </c>
      <c r="AQ497" s="591"/>
      <c r="AR497" s="591"/>
      <c r="AS497" s="591"/>
    </row>
    <row r="498" hidden="1">
      <c r="A498" s="16"/>
      <c r="B498" s="270" t="s">
        <v>467</v>
      </c>
      <c r="C498" s="170"/>
      <c r="D498" s="170" t="s">
        <v>271</v>
      </c>
      <c r="E498" s="170" t="s">
        <v>761</v>
      </c>
      <c r="F498" s="462">
        <f>AD2</f>
        <v>0</v>
      </c>
      <c r="G498" s="205">
        <f>F498*150</f>
        <v>0</v>
      </c>
      <c r="H498" s="173">
        <v>0.3</v>
      </c>
      <c r="I498" s="207">
        <f>G498*H498</f>
        <v>0</v>
      </c>
      <c r="J498" s="338" t="s">
        <v>15</v>
      </c>
      <c r="K498" s="11"/>
      <c r="L498" s="16"/>
      <c r="M498" s="16"/>
      <c r="N498" s="16"/>
      <c r="O498" s="12"/>
      <c r="P498" s="12"/>
      <c r="Q498" s="12"/>
      <c r="R498" s="12"/>
      <c r="S498" s="12"/>
      <c r="T498" s="12"/>
      <c r="U498" s="12"/>
      <c r="V498" s="12"/>
      <c r="W498" s="16"/>
      <c r="X498" s="12"/>
      <c r="Y498" s="12"/>
      <c r="Z498" s="12"/>
      <c r="AB498" s="12"/>
      <c r="AC498" s="12"/>
      <c r="AD498" s="12"/>
      <c r="AE498" s="12"/>
      <c r="AF498" s="12"/>
      <c r="AG498" s="12"/>
      <c r="AI498" s="469">
        <f>F498*I498*20%*20%+F498*I498*20%*80%</f>
        <v>0</v>
      </c>
      <c r="AJ498" s="469">
        <f>F498*I498*20%*20%</f>
        <v>0</v>
      </c>
      <c r="AK498" s="469">
        <f>F498*I498*20%*20%</f>
        <v>0</v>
      </c>
      <c r="AL498" s="469"/>
      <c r="AM498" s="469">
        <f>F498*I498*15%*20%+F498*I498*50%*80%</f>
        <v>0</v>
      </c>
      <c r="AN498" s="469">
        <f>F498*I498*15%*20%</f>
        <v>0</v>
      </c>
      <c r="AO498" s="469">
        <f>F498*I498*10%*20%+F498*I498*30%*80%</f>
        <v>0</v>
      </c>
      <c r="AP498" s="578"/>
      <c r="AQ498" s="578"/>
      <c r="AR498" s="578"/>
      <c r="AS498" s="578"/>
    </row>
    <row r="499" hidden="1">
      <c r="A499" s="16"/>
      <c r="B499" s="169"/>
      <c r="C499" s="170"/>
      <c r="D499" s="170"/>
      <c r="E499" s="170"/>
      <c r="F499" s="462">
        <f>AD2</f>
        <v>0</v>
      </c>
      <c r="G499" s="205"/>
      <c r="H499" s="173"/>
      <c r="I499" s="207"/>
      <c r="J499" s="338"/>
      <c r="K499" s="11"/>
      <c r="L499" s="16"/>
      <c r="M499" s="16"/>
      <c r="N499" s="16"/>
      <c r="O499" s="12"/>
      <c r="P499" s="12"/>
      <c r="Q499" s="12"/>
      <c r="R499" s="12"/>
      <c r="S499" s="12"/>
      <c r="T499" s="12"/>
      <c r="U499" s="12"/>
      <c r="V499" s="12"/>
      <c r="W499" s="16"/>
      <c r="X499" s="12"/>
      <c r="Y499" s="12"/>
      <c r="Z499" s="12"/>
      <c r="AB499" s="12"/>
      <c r="AC499" s="12"/>
      <c r="AD499" s="12"/>
      <c r="AE499" s="12"/>
      <c r="AF499" s="12"/>
      <c r="AG499" s="12"/>
      <c r="AI499" s="398"/>
      <c r="AJ499" s="398">
        <f t="shared" ref="AJ499:AP499" si="59">AI498*70%*93%</f>
        <v>0</v>
      </c>
      <c r="AK499" s="398">
        <f t="shared" si="59"/>
        <v>0</v>
      </c>
      <c r="AL499" s="398">
        <f t="shared" si="59"/>
        <v>0</v>
      </c>
      <c r="AM499" s="398">
        <f t="shared" si="59"/>
        <v>0</v>
      </c>
      <c r="AN499" s="398">
        <f t="shared" si="59"/>
        <v>0</v>
      </c>
      <c r="AO499" s="398">
        <f t="shared" si="59"/>
        <v>0</v>
      </c>
      <c r="AP499" s="398">
        <f t="shared" si="59"/>
        <v>0</v>
      </c>
      <c r="AQ499" s="591"/>
      <c r="AR499" s="591"/>
      <c r="AS499" s="591"/>
    </row>
    <row r="500">
      <c r="A500" s="47"/>
      <c r="B500" s="405" t="s">
        <v>50</v>
      </c>
      <c r="C500" s="406"/>
      <c r="D500" s="406"/>
      <c r="E500" s="406"/>
      <c r="F500" s="407"/>
      <c r="G500" s="408">
        <f>SUM(G440:G481)</f>
        <v>210</v>
      </c>
      <c r="H500" s="409"/>
      <c r="I500" s="408">
        <f>SUM(I440:I481)</f>
        <v>107</v>
      </c>
      <c r="J500" s="410"/>
      <c r="K500" s="11"/>
      <c r="L500" s="47"/>
      <c r="M500" s="47"/>
      <c r="N500" s="47"/>
      <c r="O500" s="55"/>
      <c r="P500" s="55"/>
      <c r="Q500" s="55"/>
      <c r="R500" s="55"/>
      <c r="S500" s="55"/>
      <c r="T500" s="55"/>
      <c r="U500" s="55"/>
      <c r="V500" s="55"/>
      <c r="X500" s="55"/>
      <c r="AP500" s="55"/>
      <c r="AQ500" s="55"/>
      <c r="AR500" s="55"/>
    </row>
    <row r="501">
      <c r="A501" s="16"/>
      <c r="B501" s="499" t="s">
        <v>41</v>
      </c>
      <c r="C501" s="16"/>
      <c r="D501" s="16"/>
      <c r="E501" s="16"/>
      <c r="F501" s="592">
        <v>1.0</v>
      </c>
      <c r="G501" s="593"/>
      <c r="H501" s="594"/>
      <c r="I501" s="593"/>
      <c r="J501" s="433"/>
      <c r="K501" s="37"/>
      <c r="L501" s="527" t="str">
        <f t="shared" ref="L501:P501" si="60">#REF!+#REF!+#REF!+#REF!+#REF!</f>
        <v>#REF!</v>
      </c>
      <c r="M501" s="527" t="str">
        <f t="shared" si="60"/>
        <v>#REF!</v>
      </c>
      <c r="N501" s="527" t="str">
        <f t="shared" si="60"/>
        <v>#REF!</v>
      </c>
      <c r="O501" s="527" t="str">
        <f t="shared" si="60"/>
        <v>#REF!</v>
      </c>
      <c r="P501" s="527" t="str">
        <f t="shared" si="60"/>
        <v>#REF!</v>
      </c>
      <c r="Q501" s="527" t="str">
        <f>#REF!+#REF!+#REF!</f>
        <v>#REF!</v>
      </c>
      <c r="R501" s="527" t="str">
        <f>#REF!+#REF!+#REF!+#REF!+#REF!+#REF!+#REF!</f>
        <v>#REF!</v>
      </c>
      <c r="S501" s="527" t="str">
        <f t="shared" ref="S501:T501" si="61">#REF!+#REF!+#REF!</f>
        <v>#REF!</v>
      </c>
      <c r="T501" s="527" t="str">
        <f t="shared" si="61"/>
        <v>#REF!</v>
      </c>
      <c r="U501" s="505" t="str">
        <f t="shared" ref="U501:V501" si="62">U395+U430+U397+U393+U292+U403+U405+U544+U472+U434+#REF!+U420+U492+U422+U540+U538+#REF!+U424+U536+U546+#REF!</f>
        <v>#REF!</v>
      </c>
      <c r="V501" s="505" t="str">
        <f t="shared" si="62"/>
        <v>#REF!</v>
      </c>
      <c r="W501" s="505" t="str">
        <f t="shared" ref="W501:Z501" si="63">W408+W416+W460+W422+W424+W540+W538+#REF!+W552+W440+W428+W452+W544+W546+W436+W542+W448+W518+W536+#REF!+W522+W511+W468+W526+W472+W528+W515+W480+W458</f>
        <v>#REF!</v>
      </c>
      <c r="X501" s="505" t="str">
        <f t="shared" si="63"/>
        <v>#REF!</v>
      </c>
      <c r="Y501" s="505" t="str">
        <f t="shared" si="63"/>
        <v>#REF!</v>
      </c>
      <c r="Z501" s="505" t="str">
        <f t="shared" si="63"/>
        <v>#REF!</v>
      </c>
      <c r="AA501" s="505">
        <f t="shared" ref="AA501:AC501" si="64">AA452+AA507+AA440+AA446+AA444+AA448+AA511+AA458+AA532+AA460+AA552+AA468+AA530+AA480+AA528+AA550+AA513+AA515</f>
        <v>0</v>
      </c>
      <c r="AB501" s="505">
        <f t="shared" si="64"/>
        <v>0</v>
      </c>
      <c r="AC501" s="505">
        <f t="shared" si="64"/>
        <v>0</v>
      </c>
      <c r="AD501" s="505">
        <f t="shared" ref="AD501:AR501" si="65">AD507+AD509+AD448+AD454+AD456+AD458</f>
        <v>0</v>
      </c>
      <c r="AE501" s="505">
        <f t="shared" si="65"/>
        <v>0</v>
      </c>
      <c r="AF501" s="412">
        <f t="shared" si="65"/>
        <v>4.9</v>
      </c>
      <c r="AG501" s="412">
        <f t="shared" si="65"/>
        <v>22.5</v>
      </c>
      <c r="AH501" s="506">
        <f t="shared" si="65"/>
        <v>7</v>
      </c>
      <c r="AI501" s="412">
        <f t="shared" si="65"/>
        <v>20</v>
      </c>
      <c r="AJ501" s="412">
        <f t="shared" si="65"/>
        <v>0</v>
      </c>
      <c r="AK501" s="412">
        <f t="shared" si="65"/>
        <v>5</v>
      </c>
      <c r="AL501" s="412">
        <f t="shared" si="65"/>
        <v>0</v>
      </c>
      <c r="AM501" s="412">
        <f t="shared" si="65"/>
        <v>30</v>
      </c>
      <c r="AN501" s="412">
        <f t="shared" si="65"/>
        <v>22.5</v>
      </c>
      <c r="AO501" s="412">
        <f t="shared" si="65"/>
        <v>0</v>
      </c>
      <c r="AP501" s="412">
        <f t="shared" si="65"/>
        <v>0</v>
      </c>
      <c r="AQ501" s="412">
        <f t="shared" si="65"/>
        <v>0</v>
      </c>
      <c r="AR501" s="505">
        <f t="shared" si="65"/>
        <v>0</v>
      </c>
    </row>
    <row r="502">
      <c r="A502" s="16"/>
      <c r="K502" s="37"/>
      <c r="L502" s="527"/>
      <c r="M502" s="527"/>
      <c r="N502" s="527"/>
      <c r="O502" s="527"/>
      <c r="P502" s="527"/>
      <c r="Q502" s="527"/>
      <c r="R502" s="527"/>
      <c r="S502" s="527"/>
      <c r="T502" s="527"/>
      <c r="U502" s="505"/>
      <c r="V502" s="505"/>
      <c r="W502" s="505"/>
      <c r="X502" s="505"/>
      <c r="Y502" s="505"/>
      <c r="Z502" s="505"/>
      <c r="AA502" s="505">
        <f t="shared" ref="AA502:AC502" si="66">AA453+AA508+AA441+AA447+AA445+AA449+AA512+AA459+AA533+AA461+AA553+AA469+AA531+AA481+AA529+AA551+AA514+AA516</f>
        <v>0</v>
      </c>
      <c r="AB502" s="505">
        <f t="shared" si="66"/>
        <v>0</v>
      </c>
      <c r="AC502" s="505">
        <f t="shared" si="66"/>
        <v>0</v>
      </c>
      <c r="AD502" s="505">
        <f t="shared" ref="AD502:AR502" si="67">AD508+AD510+AD449+AD455+AD457+AD459</f>
        <v>0</v>
      </c>
      <c r="AE502" s="505">
        <f t="shared" si="67"/>
        <v>0</v>
      </c>
      <c r="AF502" s="412">
        <f t="shared" si="67"/>
        <v>0.49</v>
      </c>
      <c r="AG502" s="505">
        <f t="shared" si="67"/>
        <v>1.3</v>
      </c>
      <c r="AH502" s="505">
        <f t="shared" si="67"/>
        <v>0</v>
      </c>
      <c r="AI502" s="505">
        <f t="shared" si="67"/>
        <v>12.8</v>
      </c>
      <c r="AJ502" s="505">
        <f t="shared" si="67"/>
        <v>0</v>
      </c>
      <c r="AK502" s="505">
        <f t="shared" si="67"/>
        <v>3.65</v>
      </c>
      <c r="AL502" s="505">
        <f t="shared" si="67"/>
        <v>10.8</v>
      </c>
      <c r="AM502" s="505">
        <f t="shared" si="67"/>
        <v>4.2</v>
      </c>
      <c r="AN502" s="505">
        <f t="shared" si="67"/>
        <v>61.1</v>
      </c>
      <c r="AO502" s="505">
        <f t="shared" si="67"/>
        <v>25.2</v>
      </c>
      <c r="AP502" s="505">
        <f t="shared" si="67"/>
        <v>32.4</v>
      </c>
      <c r="AQ502" s="505">
        <f t="shared" si="67"/>
        <v>5.4</v>
      </c>
      <c r="AR502" s="505">
        <f t="shared" si="67"/>
        <v>0</v>
      </c>
    </row>
    <row r="503">
      <c r="L503" s="527"/>
      <c r="M503" s="527"/>
      <c r="N503" s="527"/>
      <c r="O503" s="527"/>
      <c r="P503" s="527"/>
      <c r="Q503" s="527"/>
      <c r="R503" s="527"/>
      <c r="S503" s="527"/>
      <c r="T503" s="527"/>
      <c r="U503" s="505"/>
      <c r="V503" s="505"/>
      <c r="W503" s="505"/>
      <c r="X503" s="505"/>
      <c r="Y503" s="505"/>
      <c r="Z503" s="505"/>
      <c r="AA503" s="12"/>
      <c r="AB503" s="12"/>
      <c r="AC503" s="12"/>
      <c r="AD503" s="12"/>
      <c r="AE503" s="12"/>
      <c r="AF503" s="595">
        <f t="shared" ref="AF503:AF504" si="68">SUM(AA501:AF501)</f>
        <v>4.9</v>
      </c>
      <c r="AG503" s="12"/>
      <c r="AH503" s="12"/>
      <c r="AI503" s="12"/>
      <c r="AJ503" s="12"/>
      <c r="AK503" s="12"/>
      <c r="AL503" s="596">
        <f t="shared" ref="AL503:AL504" si="69">SUM(AA501:AN501)</f>
        <v>111.9</v>
      </c>
      <c r="AM503" s="12"/>
      <c r="AN503" s="12"/>
      <c r="AO503" s="509">
        <f>I501-AF503</f>
        <v>-4.9</v>
      </c>
      <c r="AP503" s="12"/>
      <c r="AQ503" s="12"/>
      <c r="AR503" s="597"/>
      <c r="AS503" s="423"/>
    </row>
    <row r="504">
      <c r="L504" s="527"/>
      <c r="M504" s="527"/>
      <c r="N504" s="527"/>
      <c r="O504" s="527"/>
      <c r="P504" s="527"/>
      <c r="Q504" s="527"/>
      <c r="R504" s="527"/>
      <c r="S504" s="527"/>
      <c r="T504" s="527"/>
      <c r="U504" s="505"/>
      <c r="V504" s="505"/>
      <c r="W504" s="505"/>
      <c r="X504" s="505"/>
      <c r="Y504" s="505"/>
      <c r="Z504" s="505"/>
      <c r="AA504" s="12"/>
      <c r="AB504" s="12"/>
      <c r="AC504" s="12"/>
      <c r="AD504" s="12"/>
      <c r="AE504" s="12"/>
      <c r="AF504" s="595">
        <f t="shared" si="68"/>
        <v>0.49</v>
      </c>
      <c r="AG504" s="12"/>
      <c r="AH504" s="12"/>
      <c r="AI504" s="12"/>
      <c r="AJ504" s="12"/>
      <c r="AK504" s="12"/>
      <c r="AL504" s="596">
        <f t="shared" si="69"/>
        <v>94.34</v>
      </c>
      <c r="AM504" s="12"/>
      <c r="AN504" s="12"/>
      <c r="AO504" s="418" t="str">
        <f>AO217+AO347+AO503</f>
        <v>#REF!</v>
      </c>
      <c r="AP504" s="12"/>
      <c r="AQ504" s="422">
        <f>SUM(AG501:AR501)</f>
        <v>107</v>
      </c>
      <c r="AR504" s="423" t="s">
        <v>600</v>
      </c>
      <c r="AS504" s="12"/>
    </row>
    <row r="505">
      <c r="B505" s="419" t="s">
        <v>37</v>
      </c>
      <c r="C505" s="168"/>
      <c r="D505" s="168" t="s">
        <v>714</v>
      </c>
      <c r="E505" s="466" t="s">
        <v>762</v>
      </c>
      <c r="F505" s="462">
        <f>AD1</f>
        <v>1</v>
      </c>
      <c r="G505" s="420">
        <f>F505*88</f>
        <v>88</v>
      </c>
      <c r="H505" s="421">
        <v>0.5</v>
      </c>
      <c r="I505" s="468">
        <f>G505*H505</f>
        <v>44</v>
      </c>
      <c r="J505" s="338" t="s">
        <v>80</v>
      </c>
      <c r="L505" s="527"/>
      <c r="M505" s="527"/>
      <c r="N505" s="527"/>
      <c r="O505" s="527"/>
      <c r="P505" s="527"/>
      <c r="Q505" s="527"/>
      <c r="R505" s="527"/>
      <c r="S505" s="527"/>
      <c r="T505" s="527"/>
      <c r="U505" s="505"/>
      <c r="V505" s="505"/>
      <c r="W505" s="505"/>
      <c r="X505" s="505"/>
      <c r="Y505" s="505"/>
      <c r="Z505" s="505"/>
      <c r="AP505" s="12"/>
      <c r="AQ505" s="422">
        <f>SUM(AG501:AR501)</f>
        <v>107</v>
      </c>
      <c r="AR505" s="423" t="s">
        <v>600</v>
      </c>
      <c r="AS505" s="423"/>
    </row>
    <row r="506">
      <c r="B506" s="419"/>
      <c r="C506" s="168"/>
      <c r="D506" s="168"/>
      <c r="E506" s="466"/>
      <c r="F506" s="463">
        <f>AD1</f>
        <v>1</v>
      </c>
      <c r="G506" s="420"/>
      <c r="H506" s="421"/>
      <c r="I506" s="468"/>
      <c r="J506" s="479"/>
      <c r="L506" s="527"/>
      <c r="M506" s="527"/>
      <c r="N506" s="527"/>
      <c r="O506" s="527"/>
      <c r="P506" s="527"/>
      <c r="Q506" s="527"/>
      <c r="R506" s="527"/>
      <c r="S506" s="527"/>
      <c r="T506" s="527"/>
      <c r="U506" s="505"/>
      <c r="V506" s="505"/>
      <c r="W506" s="505"/>
      <c r="X506" s="505"/>
      <c r="Y506" s="505"/>
      <c r="Z506" s="505"/>
      <c r="AP506" s="12"/>
      <c r="AQ506" s="598">
        <f>AQ218+AQ349+AQ505</f>
        <v>494</v>
      </c>
      <c r="AR506" s="12"/>
      <c r="AS506" s="12"/>
    </row>
    <row r="507">
      <c r="A507" s="16"/>
      <c r="B507" s="169">
        <v>2026.0</v>
      </c>
      <c r="C507" s="170">
        <v>1.0</v>
      </c>
      <c r="D507" s="170" t="s">
        <v>71</v>
      </c>
      <c r="E507" s="170" t="s">
        <v>763</v>
      </c>
      <c r="F507" s="462">
        <v>1.0</v>
      </c>
      <c r="G507" s="205">
        <f>F507*5</f>
        <v>5</v>
      </c>
      <c r="H507" s="173">
        <v>0.7</v>
      </c>
      <c r="I507" s="207">
        <f>G507*H507</f>
        <v>3.5</v>
      </c>
      <c r="J507" s="159" t="s">
        <v>55</v>
      </c>
      <c r="K507" s="11"/>
      <c r="L507" s="16"/>
      <c r="M507" s="16"/>
      <c r="N507" s="16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AF507" s="471">
        <f>I507</f>
        <v>3.5</v>
      </c>
      <c r="AI507" s="12"/>
      <c r="AJ507" s="12"/>
      <c r="AK507" s="12"/>
      <c r="AL507" s="12"/>
      <c r="AM507" s="578"/>
      <c r="AN507" s="12"/>
      <c r="AO507" s="12"/>
      <c r="AP507" s="12"/>
      <c r="AQ507" s="12"/>
      <c r="AR507" s="12"/>
      <c r="AS507" s="12"/>
    </row>
    <row r="508">
      <c r="A508" s="16"/>
      <c r="B508" s="169"/>
      <c r="C508" s="170"/>
      <c r="D508" s="170"/>
      <c r="E508" s="170"/>
      <c r="F508" s="462">
        <v>1.0</v>
      </c>
      <c r="G508" s="205"/>
      <c r="H508" s="173"/>
      <c r="I508" s="207"/>
      <c r="J508" s="159"/>
      <c r="K508" s="11"/>
      <c r="L508" s="16"/>
      <c r="M508" s="16"/>
      <c r="N508" s="16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AF508" s="472">
        <f>AF507*0.1</f>
        <v>0.35</v>
      </c>
      <c r="AI508" s="12"/>
      <c r="AJ508" s="12"/>
      <c r="AK508" s="12"/>
      <c r="AL508" s="12"/>
      <c r="AM508" s="578"/>
      <c r="AN508" s="12"/>
      <c r="AO508" s="12"/>
      <c r="AP508" s="12"/>
      <c r="AQ508" s="12"/>
      <c r="AR508" s="12"/>
      <c r="AS508" s="12"/>
    </row>
    <row r="509">
      <c r="A509" s="16"/>
      <c r="B509" s="169">
        <v>2026.0</v>
      </c>
      <c r="C509" s="170">
        <v>2.0</v>
      </c>
      <c r="D509" s="170" t="s">
        <v>71</v>
      </c>
      <c r="E509" s="170" t="s">
        <v>764</v>
      </c>
      <c r="F509" s="462">
        <v>1.0</v>
      </c>
      <c r="G509" s="205">
        <f>F509*2</f>
        <v>2</v>
      </c>
      <c r="H509" s="173">
        <v>0.7</v>
      </c>
      <c r="I509" s="207">
        <f>G509*H509</f>
        <v>1.4</v>
      </c>
      <c r="J509" s="159" t="s">
        <v>55</v>
      </c>
      <c r="K509" s="11"/>
      <c r="L509" s="16"/>
      <c r="M509" s="16"/>
      <c r="N509" s="16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AF509" s="471">
        <f>I509</f>
        <v>1.4</v>
      </c>
      <c r="AI509" s="12"/>
      <c r="AJ509" s="12"/>
      <c r="AK509" s="12"/>
      <c r="AL509" s="12"/>
      <c r="AM509" s="578"/>
      <c r="AN509" s="12"/>
      <c r="AO509" s="12"/>
      <c r="AP509" s="12"/>
      <c r="AQ509" s="12"/>
      <c r="AR509" s="12"/>
      <c r="AS509" s="12"/>
    </row>
    <row r="510">
      <c r="A510" s="16"/>
      <c r="B510" s="169"/>
      <c r="C510" s="170"/>
      <c r="D510" s="170"/>
      <c r="E510" s="170"/>
      <c r="F510" s="462">
        <v>1.0</v>
      </c>
      <c r="G510" s="205"/>
      <c r="H510" s="173"/>
      <c r="I510" s="207"/>
      <c r="J510" s="159"/>
      <c r="K510" s="11"/>
      <c r="L510" s="16"/>
      <c r="M510" s="16"/>
      <c r="N510" s="16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AF510" s="472">
        <f>AF509*0.1</f>
        <v>0.14</v>
      </c>
      <c r="AI510" s="12"/>
      <c r="AJ510" s="12"/>
      <c r="AK510" s="12"/>
      <c r="AL510" s="12"/>
      <c r="AM510" s="578"/>
      <c r="AN510" s="12"/>
      <c r="AO510" s="12"/>
      <c r="AP510" s="12"/>
      <c r="AQ510" s="12"/>
      <c r="AR510" s="12"/>
      <c r="AS510" s="12"/>
    </row>
    <row r="511">
      <c r="A511" s="16"/>
      <c r="B511" s="210">
        <v>2026.0</v>
      </c>
      <c r="C511" s="170">
        <v>31.0</v>
      </c>
      <c r="D511" s="170" t="s">
        <v>485</v>
      </c>
      <c r="E511" s="170" t="s">
        <v>765</v>
      </c>
      <c r="F511" s="462">
        <f>AD1</f>
        <v>1</v>
      </c>
      <c r="G511" s="205">
        <f>F511*20</f>
        <v>20</v>
      </c>
      <c r="H511" s="173">
        <v>0.25</v>
      </c>
      <c r="I511" s="207">
        <f>G511*H511</f>
        <v>5</v>
      </c>
      <c r="J511" s="338" t="s">
        <v>80</v>
      </c>
      <c r="K511" s="11"/>
      <c r="L511" s="16"/>
      <c r="M511" s="16"/>
      <c r="N511" s="16"/>
      <c r="O511" s="12"/>
      <c r="P511" s="12"/>
      <c r="Q511" s="12"/>
      <c r="R511" s="12"/>
      <c r="S511" s="12"/>
      <c r="T511" s="12"/>
      <c r="U511" s="12"/>
      <c r="V511" s="12"/>
      <c r="W511" s="12"/>
      <c r="AD511" s="578"/>
      <c r="AE511" s="577"/>
      <c r="AI511" s="469">
        <f>F511*I511*30%</f>
        <v>1.5</v>
      </c>
      <c r="AJ511" s="469">
        <f>F511*I511*25%</f>
        <v>1.25</v>
      </c>
      <c r="AK511" s="469">
        <f>F511*I511*25%</f>
        <v>1.25</v>
      </c>
      <c r="AL511" s="469">
        <f>F511*I511*20%</f>
        <v>1</v>
      </c>
      <c r="AM511" s="578"/>
      <c r="AN511" s="12"/>
      <c r="AO511" s="12"/>
      <c r="AP511" s="12"/>
      <c r="AQ511" s="12"/>
      <c r="AR511" s="12"/>
      <c r="AS511" s="12"/>
    </row>
    <row r="512">
      <c r="A512" s="16"/>
      <c r="B512" s="169"/>
      <c r="C512" s="170"/>
      <c r="D512" s="170"/>
      <c r="E512" s="170"/>
      <c r="F512" s="178">
        <f>AD1</f>
        <v>1</v>
      </c>
      <c r="G512" s="205"/>
      <c r="H512" s="173"/>
      <c r="I512" s="207"/>
      <c r="J512" s="338"/>
      <c r="K512" s="11"/>
      <c r="L512" s="16"/>
      <c r="M512" s="16"/>
      <c r="N512" s="16"/>
      <c r="O512" s="12"/>
      <c r="P512" s="12"/>
      <c r="Q512" s="12"/>
      <c r="R512" s="12"/>
      <c r="S512" s="12"/>
      <c r="T512" s="12"/>
      <c r="U512" s="12"/>
      <c r="V512" s="12"/>
      <c r="W512" s="12"/>
      <c r="AD512" s="578"/>
      <c r="AE512" s="577"/>
      <c r="AI512" s="477"/>
      <c r="AJ512" s="477">
        <f>F511*H511*14</f>
        <v>3.5</v>
      </c>
      <c r="AK512" s="477">
        <f>F511*H511*2.7</f>
        <v>0.675</v>
      </c>
      <c r="AL512" s="477"/>
      <c r="AM512" s="578"/>
      <c r="AN512" s="12"/>
      <c r="AO512" s="12"/>
      <c r="AP512" s="12"/>
      <c r="AQ512" s="12"/>
      <c r="AR512" s="12"/>
      <c r="AS512" s="12"/>
    </row>
    <row r="513">
      <c r="A513" s="16"/>
      <c r="B513" s="210">
        <v>2026.0</v>
      </c>
      <c r="C513" s="170">
        <v>46.0</v>
      </c>
      <c r="D513" s="170" t="s">
        <v>478</v>
      </c>
      <c r="E513" s="170" t="s">
        <v>766</v>
      </c>
      <c r="F513" s="462">
        <f>AD1</f>
        <v>1</v>
      </c>
      <c r="G513" s="205">
        <f>F513*800</f>
        <v>800</v>
      </c>
      <c r="H513" s="173">
        <v>0.05</v>
      </c>
      <c r="I513" s="207">
        <f>G513*H513</f>
        <v>40</v>
      </c>
      <c r="J513" s="338" t="s">
        <v>55</v>
      </c>
      <c r="K513" s="11"/>
      <c r="L513" s="16"/>
      <c r="M513" s="16"/>
      <c r="N513" s="16"/>
      <c r="O513" s="12"/>
      <c r="P513" s="12"/>
      <c r="Q513" s="12"/>
      <c r="R513" s="12"/>
      <c r="S513" s="12"/>
      <c r="T513" s="12"/>
      <c r="U513" s="12"/>
      <c r="V513" s="12"/>
      <c r="W513" s="16"/>
      <c r="X513" s="12"/>
      <c r="Y513" s="12"/>
      <c r="Z513" s="12"/>
      <c r="AB513" s="12"/>
      <c r="AC513" s="12"/>
      <c r="AD513" s="12"/>
      <c r="AE513" s="12"/>
      <c r="AF513" s="12"/>
      <c r="AJ513" s="469">
        <f>I513*10%</f>
        <v>4</v>
      </c>
      <c r="AK513" s="469">
        <f>I513*5%</f>
        <v>2</v>
      </c>
      <c r="AL513" s="469">
        <f>I513*10%</f>
        <v>4</v>
      </c>
      <c r="AM513" s="469">
        <f>I513*45%</f>
        <v>18</v>
      </c>
      <c r="AN513" s="469"/>
      <c r="AO513" s="469">
        <f>I513*10%</f>
        <v>4</v>
      </c>
      <c r="AP513" s="469">
        <f>I513*20%</f>
        <v>8</v>
      </c>
      <c r="AQ513" s="12"/>
      <c r="AR513" s="12"/>
      <c r="AS513" s="12"/>
    </row>
    <row r="514">
      <c r="A514" s="16"/>
      <c r="B514" s="169"/>
      <c r="C514" s="170"/>
      <c r="D514" s="170"/>
      <c r="E514" s="170"/>
      <c r="F514" s="462">
        <f>AD1</f>
        <v>1</v>
      </c>
      <c r="G514" s="205"/>
      <c r="H514" s="173"/>
      <c r="I514" s="207"/>
      <c r="J514" s="338"/>
      <c r="K514" s="11"/>
      <c r="L514" s="16"/>
      <c r="M514" s="16"/>
      <c r="N514" s="16"/>
      <c r="O514" s="12"/>
      <c r="P514" s="12"/>
      <c r="Q514" s="12"/>
      <c r="R514" s="12"/>
      <c r="S514" s="12"/>
      <c r="T514" s="12"/>
      <c r="U514" s="12"/>
      <c r="V514" s="12"/>
      <c r="W514" s="16"/>
      <c r="X514" s="12"/>
      <c r="Y514" s="12"/>
      <c r="Z514" s="12"/>
      <c r="AB514" s="12"/>
      <c r="AC514" s="12"/>
      <c r="AD514" s="12"/>
      <c r="AE514" s="12"/>
      <c r="AF514" s="12"/>
      <c r="AJ514" s="386"/>
      <c r="AK514" s="386"/>
      <c r="AL514" s="386">
        <f>F514*H513*18</f>
        <v>0.9</v>
      </c>
      <c r="AM514" s="386">
        <f>F514*H513*91</f>
        <v>4.55</v>
      </c>
      <c r="AN514" s="386">
        <f>F514*H513*42</f>
        <v>2.1</v>
      </c>
      <c r="AO514" s="589">
        <f>F514*H513*54</f>
        <v>2.7</v>
      </c>
      <c r="AP514" s="589">
        <f>F514*H513*9</f>
        <v>0.45</v>
      </c>
      <c r="AQ514" s="12"/>
      <c r="AR514" s="12"/>
      <c r="AS514" s="12"/>
    </row>
    <row r="515">
      <c r="A515" s="16"/>
      <c r="B515" s="210">
        <v>2026.0</v>
      </c>
      <c r="C515" s="170">
        <v>47.0</v>
      </c>
      <c r="D515" s="170" t="s">
        <v>343</v>
      </c>
      <c r="E515" s="170" t="s">
        <v>767</v>
      </c>
      <c r="F515" s="462">
        <f>AD1</f>
        <v>1</v>
      </c>
      <c r="G515" s="205">
        <f>F515*40</f>
        <v>40</v>
      </c>
      <c r="H515" s="173">
        <v>0.25</v>
      </c>
      <c r="I515" s="207">
        <f>G515*H515</f>
        <v>10</v>
      </c>
      <c r="J515" s="338" t="s">
        <v>80</v>
      </c>
      <c r="K515" s="11"/>
      <c r="L515" s="16"/>
      <c r="M515" s="16"/>
      <c r="N515" s="16"/>
      <c r="O515" s="12"/>
      <c r="P515" s="12"/>
      <c r="Q515" s="12"/>
      <c r="R515" s="12"/>
      <c r="S515" s="12"/>
      <c r="T515" s="12"/>
      <c r="U515" s="12"/>
      <c r="V515" s="12"/>
      <c r="W515" s="16"/>
      <c r="X515" s="12"/>
      <c r="Y515" s="12"/>
      <c r="Z515" s="12"/>
      <c r="AB515" s="12"/>
      <c r="AC515" s="12"/>
      <c r="AD515" s="12"/>
      <c r="AE515" s="12"/>
      <c r="AF515" s="12"/>
      <c r="AH515" s="471">
        <f>I515*10%</f>
        <v>1</v>
      </c>
      <c r="AI515" s="471">
        <f>I515*5%</f>
        <v>0.5</v>
      </c>
      <c r="AJ515" s="471">
        <f>I515*10%</f>
        <v>1</v>
      </c>
      <c r="AK515" s="471">
        <f>I515*45%</f>
        <v>4.5</v>
      </c>
      <c r="AL515" s="471"/>
      <c r="AM515" s="471">
        <f>I515*10%</f>
        <v>1</v>
      </c>
      <c r="AN515" s="471">
        <f>I515*20%</f>
        <v>2</v>
      </c>
      <c r="AO515" s="12"/>
      <c r="AP515" s="12"/>
      <c r="AQ515" s="12"/>
      <c r="AR515" s="12"/>
      <c r="AS515" s="12"/>
    </row>
    <row r="516">
      <c r="A516" s="16"/>
      <c r="B516" s="169"/>
      <c r="C516" s="170"/>
      <c r="D516" s="170"/>
      <c r="E516" s="170"/>
      <c r="F516" s="462">
        <f>AD1</f>
        <v>1</v>
      </c>
      <c r="G516" s="205"/>
      <c r="H516" s="173"/>
      <c r="I516" s="207"/>
      <c r="J516" s="338"/>
      <c r="K516" s="11"/>
      <c r="L516" s="16"/>
      <c r="M516" s="16"/>
      <c r="N516" s="16"/>
      <c r="O516" s="12"/>
      <c r="P516" s="12"/>
      <c r="Q516" s="12"/>
      <c r="R516" s="12"/>
      <c r="S516" s="12"/>
      <c r="T516" s="12"/>
      <c r="U516" s="12"/>
      <c r="V516" s="12"/>
      <c r="W516" s="16"/>
      <c r="X516" s="12"/>
      <c r="Y516" s="12"/>
      <c r="Z516" s="12"/>
      <c r="AB516" s="12"/>
      <c r="AC516" s="12"/>
      <c r="AD516" s="12"/>
      <c r="AE516" s="12"/>
      <c r="AF516" s="12"/>
      <c r="AH516" s="100"/>
      <c r="AI516" s="100"/>
      <c r="AJ516" s="100">
        <f>F516*H515*18</f>
        <v>4.5</v>
      </c>
      <c r="AK516" s="100">
        <f>F516*H515*91</f>
        <v>22.75</v>
      </c>
      <c r="AL516" s="100">
        <f>F516*H515*42</f>
        <v>10.5</v>
      </c>
      <c r="AM516" s="113">
        <f>F516*H515*54</f>
        <v>13.5</v>
      </c>
      <c r="AN516" s="113">
        <f>F516*H515*9</f>
        <v>2.25</v>
      </c>
      <c r="AO516" s="12"/>
      <c r="AP516" s="12"/>
      <c r="AQ516" s="12"/>
      <c r="AR516" s="12"/>
      <c r="AS516" s="12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</row>
    <row r="518" hidden="1">
      <c r="A518" s="16"/>
      <c r="B518" s="599">
        <v>46023.0</v>
      </c>
      <c r="C518" s="170">
        <v>23.0</v>
      </c>
      <c r="D518" s="170" t="s">
        <v>768</v>
      </c>
      <c r="E518" s="170" t="s">
        <v>769</v>
      </c>
      <c r="F518" s="462">
        <v>0.0</v>
      </c>
      <c r="G518" s="205">
        <f>F518*140</f>
        <v>0</v>
      </c>
      <c r="H518" s="173">
        <v>0.05</v>
      </c>
      <c r="I518" s="207">
        <f>G518*H518</f>
        <v>0</v>
      </c>
      <c r="J518" s="159" t="s">
        <v>55</v>
      </c>
      <c r="K518" s="11"/>
      <c r="L518" s="16"/>
      <c r="M518" s="16"/>
      <c r="N518" s="16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AK518" s="469">
        <f>F518*I518*20%*20%+F518*I518*20%*80%</f>
        <v>0</v>
      </c>
      <c r="AL518" s="469">
        <f>F518*I518*20%*20%</f>
        <v>0</v>
      </c>
      <c r="AM518" s="469">
        <f>F518*I518*20%*20%</f>
        <v>0</v>
      </c>
      <c r="AN518" s="469"/>
      <c r="AO518" s="469">
        <f>F518*I518*15%*20%+F518*I518*50%*80%</f>
        <v>0</v>
      </c>
      <c r="AP518" s="469">
        <f>F518*I518*15%*20%</f>
        <v>0</v>
      </c>
      <c r="AQ518" s="469">
        <f>F518*I518*10%*20%+F518*I518*30%*80%</f>
        <v>0</v>
      </c>
      <c r="AR518" s="469"/>
      <c r="AS518" s="12"/>
    </row>
    <row r="519" hidden="1">
      <c r="A519" s="16"/>
      <c r="B519" s="248"/>
      <c r="C519" s="170"/>
      <c r="D519" s="170"/>
      <c r="E519" s="170"/>
      <c r="F519" s="462">
        <v>0.0</v>
      </c>
      <c r="G519" s="205"/>
      <c r="H519" s="173"/>
      <c r="I519" s="207"/>
      <c r="J519" s="159"/>
      <c r="K519" s="11"/>
      <c r="L519" s="16"/>
      <c r="M519" s="16"/>
      <c r="N519" s="16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AK519" s="398"/>
      <c r="AL519" s="398">
        <f t="shared" ref="AL519:AR519" si="70">AK518*70%*93%</f>
        <v>0</v>
      </c>
      <c r="AM519" s="398">
        <f t="shared" si="70"/>
        <v>0</v>
      </c>
      <c r="AN519" s="398">
        <f t="shared" si="70"/>
        <v>0</v>
      </c>
      <c r="AO519" s="398">
        <f t="shared" si="70"/>
        <v>0</v>
      </c>
      <c r="AP519" s="398">
        <f t="shared" si="70"/>
        <v>0</v>
      </c>
      <c r="AQ519" s="398">
        <f t="shared" si="70"/>
        <v>0</v>
      </c>
      <c r="AR519" s="398">
        <f t="shared" si="70"/>
        <v>0</v>
      </c>
      <c r="AS519" s="12"/>
    </row>
    <row r="520">
      <c r="A520" s="16"/>
      <c r="B520" s="419" t="s">
        <v>37</v>
      </c>
      <c r="C520" s="170"/>
      <c r="D520" s="170" t="s">
        <v>770</v>
      </c>
      <c r="E520" s="170" t="s">
        <v>771</v>
      </c>
      <c r="F520" s="462">
        <f>AD1</f>
        <v>1</v>
      </c>
      <c r="G520" s="205">
        <f>F520*110</f>
        <v>110</v>
      </c>
      <c r="H520" s="173">
        <v>0.15</v>
      </c>
      <c r="I520" s="207">
        <f>G520*H520</f>
        <v>16.5</v>
      </c>
      <c r="J520" s="338" t="s">
        <v>15</v>
      </c>
      <c r="K520" s="11"/>
      <c r="L520" s="16"/>
      <c r="M520" s="16"/>
      <c r="N520" s="16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AP520" s="12"/>
      <c r="AQ520" s="12"/>
      <c r="AR520" s="12"/>
      <c r="AS520" s="12"/>
    </row>
    <row r="521">
      <c r="A521" s="16"/>
      <c r="B521" s="419"/>
      <c r="C521" s="170"/>
      <c r="D521" s="170"/>
      <c r="E521" s="170"/>
      <c r="F521" s="462">
        <f>AD1</f>
        <v>1</v>
      </c>
      <c r="G521" s="205"/>
      <c r="H521" s="173"/>
      <c r="I521" s="207"/>
      <c r="J521" s="338"/>
      <c r="K521" s="11"/>
      <c r="L521" s="16"/>
      <c r="M521" s="16"/>
      <c r="N521" s="16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AP521" s="12"/>
      <c r="AQ521" s="12"/>
      <c r="AR521" s="12"/>
      <c r="AS521" s="12"/>
    </row>
    <row r="522">
      <c r="A522" s="16"/>
      <c r="B522" s="482" t="s">
        <v>91</v>
      </c>
      <c r="C522" s="170">
        <v>28.0</v>
      </c>
      <c r="D522" s="170" t="s">
        <v>247</v>
      </c>
      <c r="E522" s="170" t="s">
        <v>772</v>
      </c>
      <c r="F522" s="462">
        <f>AD1</f>
        <v>1</v>
      </c>
      <c r="G522" s="205">
        <f>F522*100</f>
        <v>100</v>
      </c>
      <c r="H522" s="173">
        <v>0.15</v>
      </c>
      <c r="I522" s="207">
        <f>G522*H522</f>
        <v>15</v>
      </c>
      <c r="J522" s="159" t="s">
        <v>80</v>
      </c>
      <c r="K522" s="11"/>
      <c r="L522" s="16"/>
      <c r="M522" s="16"/>
      <c r="N522" s="16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AK522" s="469">
        <f>F522*I522*20%*20%+F522*I522*20%*80%</f>
        <v>3</v>
      </c>
      <c r="AL522" s="469">
        <f>F522*I522*20%*20%</f>
        <v>0.6</v>
      </c>
      <c r="AM522" s="469">
        <f>F522*I522*20%*20%</f>
        <v>0.6</v>
      </c>
      <c r="AN522" s="469"/>
      <c r="AO522" s="469">
        <f>F522*I522*15%*20%+F522*I522*50%*80%</f>
        <v>6.45</v>
      </c>
      <c r="AP522" s="469">
        <f>F522*I522*15%*20%</f>
        <v>0.45</v>
      </c>
      <c r="AQ522" s="469">
        <f>F522*I522*10%*20%+F522*I522*30%*80%</f>
        <v>3.9</v>
      </c>
      <c r="AR522" s="579"/>
      <c r="AS522" s="579"/>
    </row>
    <row r="523">
      <c r="A523" s="16"/>
      <c r="B523" s="169"/>
      <c r="C523" s="170"/>
      <c r="D523" s="170"/>
      <c r="E523" s="170"/>
      <c r="F523" s="462">
        <f>AD1</f>
        <v>1</v>
      </c>
      <c r="G523" s="205"/>
      <c r="H523" s="173"/>
      <c r="I523" s="207"/>
      <c r="J523" s="338"/>
      <c r="K523" s="11"/>
      <c r="L523" s="16"/>
      <c r="M523" s="16"/>
      <c r="N523" s="16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AK523" s="398"/>
      <c r="AL523" s="398">
        <f t="shared" ref="AL523:AR523" si="71">AK522*70%*93%</f>
        <v>1.953</v>
      </c>
      <c r="AM523" s="398">
        <f t="shared" si="71"/>
        <v>0.3906</v>
      </c>
      <c r="AN523" s="398">
        <f t="shared" si="71"/>
        <v>0.3906</v>
      </c>
      <c r="AO523" s="398">
        <f t="shared" si="71"/>
        <v>0</v>
      </c>
      <c r="AP523" s="398">
        <f t="shared" si="71"/>
        <v>4.19895</v>
      </c>
      <c r="AQ523" s="398">
        <f t="shared" si="71"/>
        <v>0.29295</v>
      </c>
      <c r="AR523" s="398">
        <f t="shared" si="71"/>
        <v>2.5389</v>
      </c>
      <c r="AS523" s="591"/>
    </row>
    <row r="524">
      <c r="A524" s="16"/>
      <c r="B524" s="169" t="s">
        <v>91</v>
      </c>
      <c r="C524" s="170"/>
      <c r="D524" s="170" t="s">
        <v>773</v>
      </c>
      <c r="E524" s="170" t="s">
        <v>774</v>
      </c>
      <c r="F524" s="462">
        <f>AD1</f>
        <v>1</v>
      </c>
      <c r="G524" s="205">
        <f>F524*40</f>
        <v>40</v>
      </c>
      <c r="H524" s="173">
        <v>0.1</v>
      </c>
      <c r="I524" s="207">
        <f>G524*H524</f>
        <v>4</v>
      </c>
      <c r="J524" s="338" t="s">
        <v>15</v>
      </c>
      <c r="K524" s="11"/>
      <c r="L524" s="16"/>
      <c r="M524" s="16"/>
      <c r="N524" s="16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AP524" s="12"/>
      <c r="AQ524" s="12"/>
      <c r="AR524" s="12"/>
      <c r="AS524" s="12"/>
    </row>
    <row r="525">
      <c r="A525" s="16"/>
      <c r="B525" s="169"/>
      <c r="C525" s="170"/>
      <c r="D525" s="170"/>
      <c r="E525" s="170"/>
      <c r="F525" s="462">
        <f>AD1</f>
        <v>1</v>
      </c>
      <c r="G525" s="205"/>
      <c r="H525" s="173"/>
      <c r="I525" s="207"/>
      <c r="J525" s="338"/>
      <c r="K525" s="11"/>
      <c r="L525" s="16"/>
      <c r="M525" s="16"/>
      <c r="N525" s="16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AP525" s="12"/>
      <c r="AQ525" s="12"/>
      <c r="AR525" s="12"/>
      <c r="AS525" s="12"/>
    </row>
    <row r="526">
      <c r="A526" s="16"/>
      <c r="B526" s="169" t="s">
        <v>91</v>
      </c>
      <c r="C526" s="170">
        <v>24.0</v>
      </c>
      <c r="D526" s="209" t="s">
        <v>775</v>
      </c>
      <c r="E526" s="209" t="s">
        <v>776</v>
      </c>
      <c r="F526" s="462">
        <f>AD1</f>
        <v>1</v>
      </c>
      <c r="G526" s="420">
        <f>F526*20</f>
        <v>20</v>
      </c>
      <c r="H526" s="421">
        <v>0.03</v>
      </c>
      <c r="I526" s="385">
        <f>G526*H526</f>
        <v>0.6</v>
      </c>
      <c r="J526" s="159" t="s">
        <v>80</v>
      </c>
      <c r="K526" s="11"/>
      <c r="L526" s="16"/>
      <c r="M526" s="16"/>
      <c r="N526" s="16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K526" s="469">
        <f>F526*I526*20%*20%+F526*I526*20%*80%</f>
        <v>0.12</v>
      </c>
      <c r="AL526" s="469">
        <f>F526*I526*20%*20%</f>
        <v>0.024</v>
      </c>
      <c r="AM526" s="469">
        <f>F526*I526*20%*20%</f>
        <v>0.024</v>
      </c>
      <c r="AN526" s="469"/>
      <c r="AO526" s="469">
        <f>F526*I526*15%*20%+F526*I526*50%*80%</f>
        <v>0.258</v>
      </c>
      <c r="AP526" s="469">
        <f>F526*I526*15%*20%</f>
        <v>0.018</v>
      </c>
      <c r="AQ526" s="469">
        <f>F526*I526*10%*20%+F526*I526*30%*80%</f>
        <v>0.156</v>
      </c>
      <c r="AR526" s="579"/>
      <c r="AS526" s="579"/>
    </row>
    <row r="527">
      <c r="A527" s="16"/>
      <c r="B527" s="248"/>
      <c r="C527" s="170"/>
      <c r="D527" s="170"/>
      <c r="E527" s="170"/>
      <c r="F527" s="463">
        <f>AD1</f>
        <v>1</v>
      </c>
      <c r="G527" s="575"/>
      <c r="H527" s="310"/>
      <c r="I527" s="576"/>
      <c r="J527" s="338"/>
      <c r="K527" s="11"/>
      <c r="L527" s="16"/>
      <c r="M527" s="16"/>
      <c r="N527" s="16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K527" s="398"/>
      <c r="AL527" s="398">
        <f t="shared" ref="AL527:AR527" si="72">AK526*70%*93%</f>
        <v>0.07812</v>
      </c>
      <c r="AM527" s="398">
        <f t="shared" si="72"/>
        <v>0.015624</v>
      </c>
      <c r="AN527" s="398">
        <f t="shared" si="72"/>
        <v>0.015624</v>
      </c>
      <c r="AO527" s="398">
        <f t="shared" si="72"/>
        <v>0</v>
      </c>
      <c r="AP527" s="398">
        <f t="shared" si="72"/>
        <v>0.167958</v>
      </c>
      <c r="AQ527" s="398">
        <f t="shared" si="72"/>
        <v>0.011718</v>
      </c>
      <c r="AR527" s="398">
        <f t="shared" si="72"/>
        <v>0.101556</v>
      </c>
      <c r="AS527" s="591"/>
    </row>
    <row r="528">
      <c r="A528" s="16"/>
      <c r="B528" s="600">
        <v>46054.0</v>
      </c>
      <c r="C528" s="170">
        <v>44.0</v>
      </c>
      <c r="D528" s="170" t="s">
        <v>775</v>
      </c>
      <c r="E528" s="170" t="s">
        <v>777</v>
      </c>
      <c r="F528" s="462">
        <f>AD1</f>
        <v>1</v>
      </c>
      <c r="G528" s="205">
        <f>F528*80</f>
        <v>80</v>
      </c>
      <c r="H528" s="173">
        <v>0.15</v>
      </c>
      <c r="I528" s="207">
        <f>G528*H528</f>
        <v>12</v>
      </c>
      <c r="J528" s="338" t="s">
        <v>80</v>
      </c>
      <c r="K528" s="11"/>
      <c r="L528" s="16"/>
      <c r="M528" s="16"/>
      <c r="N528" s="16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K528" s="469">
        <f>F528*I528*20%*20%+F528*I528*20%*80%</f>
        <v>2.4</v>
      </c>
      <c r="AL528" s="469">
        <f>F528*I528*20%*20%</f>
        <v>0.48</v>
      </c>
      <c r="AM528" s="469">
        <f>F528*I528*20%*20%</f>
        <v>0.48</v>
      </c>
      <c r="AN528" s="469"/>
      <c r="AO528" s="469">
        <f>F528*I528*15%*20%+F528*I528*50%*80%</f>
        <v>5.16</v>
      </c>
      <c r="AP528" s="469">
        <f>F528*I528*15%*20%</f>
        <v>0.36</v>
      </c>
      <c r="AQ528" s="469">
        <f>F528*I528*10%*20%+F528*I528*30%*80%</f>
        <v>3.12</v>
      </c>
      <c r="AR528" s="578"/>
      <c r="AS528" s="578"/>
    </row>
    <row r="529">
      <c r="A529" s="16"/>
      <c r="B529" s="169"/>
      <c r="C529" s="170"/>
      <c r="D529" s="170"/>
      <c r="E529" s="170"/>
      <c r="F529" s="473">
        <f>AD1</f>
        <v>1</v>
      </c>
      <c r="G529" s="205"/>
      <c r="H529" s="173"/>
      <c r="I529" s="207"/>
      <c r="J529" s="159"/>
      <c r="K529" s="11"/>
      <c r="L529" s="16"/>
      <c r="M529" s="16"/>
      <c r="N529" s="16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K529" s="398"/>
      <c r="AL529" s="398">
        <f t="shared" ref="AL529:AR529" si="73">AK528*70%*93%</f>
        <v>1.5624</v>
      </c>
      <c r="AM529" s="398">
        <f t="shared" si="73"/>
        <v>0.31248</v>
      </c>
      <c r="AN529" s="398">
        <f t="shared" si="73"/>
        <v>0.31248</v>
      </c>
      <c r="AO529" s="398">
        <f t="shared" si="73"/>
        <v>0</v>
      </c>
      <c r="AP529" s="398">
        <f t="shared" si="73"/>
        <v>3.35916</v>
      </c>
      <c r="AQ529" s="398">
        <f t="shared" si="73"/>
        <v>0.23436</v>
      </c>
      <c r="AR529" s="398">
        <f t="shared" si="73"/>
        <v>2.03112</v>
      </c>
      <c r="AS529" s="591"/>
    </row>
    <row r="530" hidden="1">
      <c r="A530" s="16"/>
      <c r="B530" s="600">
        <v>46082.0</v>
      </c>
      <c r="C530" s="170">
        <v>42.0</v>
      </c>
      <c r="D530" s="170" t="s">
        <v>778</v>
      </c>
      <c r="E530" s="170" t="s">
        <v>779</v>
      </c>
      <c r="F530" s="462">
        <v>0.0</v>
      </c>
      <c r="G530" s="205">
        <f>F530*35</f>
        <v>0</v>
      </c>
      <c r="H530" s="173">
        <v>0.15</v>
      </c>
      <c r="I530" s="207">
        <f>G530*H530</f>
        <v>0</v>
      </c>
      <c r="J530" s="338" t="s">
        <v>80</v>
      </c>
      <c r="K530" s="11"/>
      <c r="L530" s="16"/>
      <c r="M530" s="16"/>
      <c r="N530" s="16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G530" s="471">
        <f>I530*10%</f>
        <v>0</v>
      </c>
      <c r="AJ530" s="471">
        <f>I530*5%</f>
        <v>0</v>
      </c>
      <c r="AK530" s="471">
        <f>I530*10%</f>
        <v>0</v>
      </c>
      <c r="AL530" s="471">
        <f>I530*45%</f>
        <v>0</v>
      </c>
      <c r="AM530" s="471"/>
      <c r="AN530" s="471">
        <f>I530*10%</f>
        <v>0</v>
      </c>
      <c r="AO530" s="471">
        <f>I530*20%</f>
        <v>0</v>
      </c>
    </row>
    <row r="531" hidden="1">
      <c r="A531" s="16"/>
      <c r="B531" s="169"/>
      <c r="C531" s="170"/>
      <c r="D531" s="170"/>
      <c r="E531" s="170"/>
      <c r="F531" s="462">
        <v>0.0</v>
      </c>
      <c r="G531" s="205"/>
      <c r="H531" s="173"/>
      <c r="I531" s="207"/>
      <c r="J531" s="338"/>
      <c r="K531" s="11"/>
      <c r="L531" s="16"/>
      <c r="M531" s="16"/>
      <c r="N531" s="16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G531" s="386"/>
      <c r="AJ531" s="386"/>
      <c r="AK531" s="386">
        <f>F531*H530*18</f>
        <v>0</v>
      </c>
      <c r="AL531" s="386">
        <f>F531*H530*91</f>
        <v>0</v>
      </c>
      <c r="AM531" s="386">
        <f>F531*H530*42</f>
        <v>0</v>
      </c>
      <c r="AN531" s="589">
        <f>F531*H530*54</f>
        <v>0</v>
      </c>
      <c r="AO531" s="589">
        <f>F531*H530*9</f>
        <v>0</v>
      </c>
    </row>
    <row r="532" hidden="1">
      <c r="A532" s="16"/>
      <c r="B532" s="601">
        <v>46082.0</v>
      </c>
      <c r="C532" s="170">
        <v>33.0</v>
      </c>
      <c r="D532" s="170" t="s">
        <v>343</v>
      </c>
      <c r="E532" s="170" t="s">
        <v>780</v>
      </c>
      <c r="F532" s="462">
        <v>0.0</v>
      </c>
      <c r="G532" s="205">
        <f>F532*50</f>
        <v>0</v>
      </c>
      <c r="H532" s="173">
        <v>0.5</v>
      </c>
      <c r="I532" s="207">
        <f>G532*H532</f>
        <v>0</v>
      </c>
      <c r="J532" s="338" t="s">
        <v>55</v>
      </c>
      <c r="K532" s="11"/>
      <c r="L532" s="16"/>
      <c r="M532" s="16"/>
      <c r="N532" s="16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G532" s="469">
        <f>I532*10%</f>
        <v>0</v>
      </c>
      <c r="AH532" s="469">
        <f>I532*5%</f>
        <v>0</v>
      </c>
      <c r="AJ532" s="469">
        <f>I532*10%</f>
        <v>0</v>
      </c>
      <c r="AL532" s="469">
        <f>I532*45%</f>
        <v>0</v>
      </c>
      <c r="AM532" s="469"/>
      <c r="AN532" s="469">
        <f>I532*10%</f>
        <v>0</v>
      </c>
      <c r="AO532" s="469">
        <f>I532*20%</f>
        <v>0</v>
      </c>
    </row>
    <row r="533" hidden="1">
      <c r="A533" s="16"/>
      <c r="B533" s="169"/>
      <c r="C533" s="170"/>
      <c r="D533" s="170"/>
      <c r="E533" s="170"/>
      <c r="F533" s="462">
        <v>0.0</v>
      </c>
      <c r="G533" s="205"/>
      <c r="H533" s="173"/>
      <c r="I533" s="207"/>
      <c r="J533" s="338"/>
      <c r="K533" s="11"/>
      <c r="L533" s="16"/>
      <c r="M533" s="16"/>
      <c r="N533" s="16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G533" s="386"/>
      <c r="AH533" s="386"/>
      <c r="AJ533" s="386">
        <f>F533*H532*18</f>
        <v>0</v>
      </c>
      <c r="AL533" s="386">
        <f>F533*H532*91</f>
        <v>0</v>
      </c>
      <c r="AM533" s="386">
        <f>F533*H532*42</f>
        <v>0</v>
      </c>
      <c r="AN533" s="589">
        <f>F533*H532*54</f>
        <v>0</v>
      </c>
      <c r="AO533" s="589">
        <f>F533*H532*9</f>
        <v>0</v>
      </c>
    </row>
    <row r="534">
      <c r="A534" s="16"/>
      <c r="B534" s="210" t="s">
        <v>42</v>
      </c>
      <c r="C534" s="170">
        <v>41.0</v>
      </c>
      <c r="D534" s="170" t="s">
        <v>343</v>
      </c>
      <c r="E534" s="170" t="s">
        <v>781</v>
      </c>
      <c r="F534" s="462">
        <f>AD1</f>
        <v>1</v>
      </c>
      <c r="G534" s="205">
        <f>F534*50</f>
        <v>50</v>
      </c>
      <c r="H534" s="173">
        <v>0.15</v>
      </c>
      <c r="I534" s="207">
        <f>G534*H534</f>
        <v>7.5</v>
      </c>
      <c r="J534" s="338" t="s">
        <v>80</v>
      </c>
      <c r="K534" s="11"/>
      <c r="L534" s="16"/>
      <c r="M534" s="16"/>
      <c r="N534" s="16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K534" s="469">
        <f>I534*10%</f>
        <v>0.75</v>
      </c>
      <c r="AL534" s="469">
        <f>I534*5%</f>
        <v>0.375</v>
      </c>
      <c r="AM534" s="469">
        <f>I534*10%</f>
        <v>0.75</v>
      </c>
      <c r="AN534" s="469">
        <f>I534*45%</f>
        <v>3.375</v>
      </c>
      <c r="AO534" s="469"/>
      <c r="AP534" s="469">
        <f>I534*10%</f>
        <v>0.75</v>
      </c>
      <c r="AQ534" s="469">
        <f>I534*20%</f>
        <v>1.5</v>
      </c>
    </row>
    <row r="535">
      <c r="A535" s="16"/>
      <c r="B535" s="169"/>
      <c r="C535" s="170"/>
      <c r="D535" s="170"/>
      <c r="E535" s="170"/>
      <c r="F535" s="462">
        <f>AD1</f>
        <v>1</v>
      </c>
      <c r="G535" s="205"/>
      <c r="H535" s="173"/>
      <c r="I535" s="207"/>
      <c r="J535" s="338"/>
      <c r="K535" s="11"/>
      <c r="L535" s="16"/>
      <c r="M535" s="16"/>
      <c r="N535" s="16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K535" s="386"/>
      <c r="AL535" s="386"/>
      <c r="AM535" s="386">
        <f>F535*H534*18</f>
        <v>2.7</v>
      </c>
      <c r="AN535" s="386">
        <f>F535*H534*91</f>
        <v>13.65</v>
      </c>
      <c r="AO535" s="386">
        <f>F535*H534*42</f>
        <v>6.3</v>
      </c>
      <c r="AP535" s="589">
        <f>F535*H534*54</f>
        <v>8.1</v>
      </c>
      <c r="AQ535" s="589">
        <f>F535*H534*9</f>
        <v>1.35</v>
      </c>
    </row>
    <row r="536">
      <c r="A536" s="16"/>
      <c r="B536" s="210" t="s">
        <v>42</v>
      </c>
      <c r="C536" s="170">
        <v>39.0</v>
      </c>
      <c r="D536" s="209" t="s">
        <v>193</v>
      </c>
      <c r="E536" s="209" t="s">
        <v>782</v>
      </c>
      <c r="F536" s="462">
        <f>AD1</f>
        <v>1</v>
      </c>
      <c r="G536" s="420">
        <f>F536*50</f>
        <v>50</v>
      </c>
      <c r="H536" s="421">
        <v>1.0</v>
      </c>
      <c r="I536" s="385">
        <f>G536*H536</f>
        <v>50</v>
      </c>
      <c r="J536" s="159" t="s">
        <v>80</v>
      </c>
      <c r="K536" s="11"/>
      <c r="L536" s="16"/>
      <c r="M536" s="16"/>
      <c r="N536" s="16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AC536" s="12"/>
      <c r="AM536" s="471">
        <f>I536*30%</f>
        <v>15</v>
      </c>
      <c r="AN536" s="471">
        <f>I536*25%</f>
        <v>12.5</v>
      </c>
      <c r="AO536" s="471">
        <f>I536*25%</f>
        <v>12.5</v>
      </c>
      <c r="AP536" s="471">
        <f>I536*10%</f>
        <v>5</v>
      </c>
      <c r="AQ536" s="471">
        <f>I536*10%</f>
        <v>5</v>
      </c>
    </row>
    <row r="537">
      <c r="A537" s="16"/>
      <c r="B537" s="248"/>
      <c r="C537" s="170"/>
      <c r="D537" s="170"/>
      <c r="E537" s="170"/>
      <c r="F537" s="463">
        <f>AD1</f>
        <v>1</v>
      </c>
      <c r="G537" s="575"/>
      <c r="H537" s="310"/>
      <c r="I537" s="576"/>
      <c r="J537" s="338"/>
      <c r="K537" s="11"/>
      <c r="L537" s="16"/>
      <c r="M537" s="16"/>
      <c r="N537" s="16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M537" s="602"/>
      <c r="AN537" s="602"/>
      <c r="AO537" s="602"/>
      <c r="AP537" s="602"/>
      <c r="AQ537" s="602"/>
    </row>
    <row r="538">
      <c r="A538" s="16"/>
      <c r="B538" s="482" t="s">
        <v>42</v>
      </c>
      <c r="C538" s="170">
        <v>38.0</v>
      </c>
      <c r="D538" s="209" t="s">
        <v>193</v>
      </c>
      <c r="E538" s="209" t="s">
        <v>783</v>
      </c>
      <c r="F538" s="462">
        <f>AD1</f>
        <v>1</v>
      </c>
      <c r="G538" s="420">
        <f>F538*50</f>
        <v>50</v>
      </c>
      <c r="H538" s="421">
        <v>1.0</v>
      </c>
      <c r="I538" s="385">
        <f>G538*H538</f>
        <v>50</v>
      </c>
      <c r="J538" s="159" t="s">
        <v>80</v>
      </c>
      <c r="K538" s="11" t="s">
        <v>784</v>
      </c>
      <c r="L538" s="16"/>
      <c r="M538" s="16"/>
      <c r="N538" s="16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AC538" s="12"/>
      <c r="AM538" s="471">
        <f>I538*30%</f>
        <v>15</v>
      </c>
      <c r="AN538" s="471">
        <f>I538*25%</f>
        <v>12.5</v>
      </c>
      <c r="AO538" s="471">
        <f>I538*25%</f>
        <v>12.5</v>
      </c>
      <c r="AP538" s="471">
        <f>I538*10%</f>
        <v>5</v>
      </c>
      <c r="AQ538" s="471">
        <f>I538*10%</f>
        <v>5</v>
      </c>
      <c r="AR538" s="12"/>
      <c r="AS538" s="12"/>
    </row>
    <row r="539">
      <c r="A539" s="16"/>
      <c r="B539" s="248"/>
      <c r="C539" s="170"/>
      <c r="D539" s="170"/>
      <c r="E539" s="170"/>
      <c r="F539" s="463">
        <f>AD1</f>
        <v>1</v>
      </c>
      <c r="G539" s="575"/>
      <c r="H539" s="310"/>
      <c r="I539" s="576"/>
      <c r="J539" s="338"/>
      <c r="K539" s="11"/>
      <c r="L539" s="16"/>
      <c r="M539" s="16"/>
      <c r="N539" s="16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AC539" s="12"/>
      <c r="AM539" s="602"/>
      <c r="AN539" s="602"/>
      <c r="AO539" s="602"/>
      <c r="AP539" s="602"/>
      <c r="AQ539" s="602"/>
      <c r="AR539" s="603"/>
      <c r="AS539" s="603"/>
    </row>
    <row r="540">
      <c r="A540" s="16"/>
      <c r="B540" s="482" t="s">
        <v>42</v>
      </c>
      <c r="C540" s="170">
        <v>37.0</v>
      </c>
      <c r="D540" s="209" t="s">
        <v>193</v>
      </c>
      <c r="E540" s="209" t="s">
        <v>785</v>
      </c>
      <c r="F540" s="462">
        <f>AD1</f>
        <v>1</v>
      </c>
      <c r="G540" s="420">
        <f>F540*50</f>
        <v>50</v>
      </c>
      <c r="H540" s="421">
        <v>1.0</v>
      </c>
      <c r="I540" s="385">
        <f>G540*H540</f>
        <v>50</v>
      </c>
      <c r="J540" s="159" t="s">
        <v>80</v>
      </c>
      <c r="K540" s="11" t="s">
        <v>784</v>
      </c>
      <c r="AC540" s="12"/>
      <c r="AM540" s="471">
        <f>I540*30%</f>
        <v>15</v>
      </c>
      <c r="AN540" s="471">
        <f>I540*25%</f>
        <v>12.5</v>
      </c>
      <c r="AO540" s="471">
        <f>I540*25%</f>
        <v>12.5</v>
      </c>
      <c r="AP540" s="471">
        <f>I540*10%</f>
        <v>5</v>
      </c>
      <c r="AQ540" s="471">
        <f>I540*10%</f>
        <v>5</v>
      </c>
      <c r="AR540" s="12"/>
      <c r="AS540" s="12"/>
    </row>
    <row r="541">
      <c r="B541" s="248"/>
      <c r="C541" s="170"/>
      <c r="D541" s="170"/>
      <c r="E541" s="170"/>
      <c r="F541" s="463">
        <f>AD1</f>
        <v>1</v>
      </c>
      <c r="G541" s="575"/>
      <c r="H541" s="310"/>
      <c r="I541" s="576"/>
      <c r="J541" s="338"/>
      <c r="K541" s="11"/>
      <c r="AC541" s="12"/>
      <c r="AM541" s="602"/>
      <c r="AN541" s="602"/>
      <c r="AO541" s="602"/>
      <c r="AP541" s="602"/>
      <c r="AQ541" s="602"/>
      <c r="AR541" s="603"/>
      <c r="AS541" s="603"/>
    </row>
    <row r="542">
      <c r="A542" s="16"/>
      <c r="B542" s="419" t="s">
        <v>42</v>
      </c>
      <c r="C542" s="170">
        <v>27.0</v>
      </c>
      <c r="D542" s="170" t="s">
        <v>193</v>
      </c>
      <c r="E542" s="170" t="s">
        <v>786</v>
      </c>
      <c r="F542" s="462">
        <f>AD1</f>
        <v>1</v>
      </c>
      <c r="G542" s="205">
        <f>F542*50</f>
        <v>50</v>
      </c>
      <c r="H542" s="173">
        <v>0.7</v>
      </c>
      <c r="I542" s="207">
        <f>G542*H542</f>
        <v>35</v>
      </c>
      <c r="J542" s="338" t="s">
        <v>80</v>
      </c>
      <c r="K542" s="11"/>
      <c r="L542" s="16"/>
      <c r="M542" s="16"/>
      <c r="N542" s="16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M542" s="471">
        <f>I542*30%</f>
        <v>10.5</v>
      </c>
      <c r="AN542" s="471">
        <f>I542*25%</f>
        <v>8.75</v>
      </c>
      <c r="AO542" s="471">
        <f>I542*25%</f>
        <v>8.75</v>
      </c>
      <c r="AP542" s="471">
        <f>I542*10%</f>
        <v>3.5</v>
      </c>
      <c r="AQ542" s="471">
        <f>I542*10%</f>
        <v>3.5</v>
      </c>
      <c r="AR542" s="12"/>
      <c r="AS542" s="12"/>
    </row>
    <row r="543">
      <c r="A543" s="16"/>
      <c r="B543" s="169"/>
      <c r="C543" s="170"/>
      <c r="D543" s="170"/>
      <c r="E543" s="170"/>
      <c r="F543" s="463">
        <f>AD1</f>
        <v>1</v>
      </c>
      <c r="G543" s="205"/>
      <c r="H543" s="173"/>
      <c r="I543" s="207"/>
      <c r="J543" s="338"/>
      <c r="K543" s="11"/>
      <c r="L543" s="16"/>
      <c r="M543" s="16"/>
      <c r="N543" s="16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M543" s="602"/>
      <c r="AN543" s="602"/>
      <c r="AO543" s="602"/>
      <c r="AP543" s="602"/>
      <c r="AQ543" s="602"/>
      <c r="AR543" s="12"/>
      <c r="AS543" s="12"/>
    </row>
    <row r="544">
      <c r="A544" s="16"/>
      <c r="B544" s="169" t="s">
        <v>42</v>
      </c>
      <c r="C544" s="170"/>
      <c r="D544" s="170" t="s">
        <v>787</v>
      </c>
      <c r="E544" s="170" t="s">
        <v>788</v>
      </c>
      <c r="F544" s="462">
        <f>AD1</f>
        <v>1</v>
      </c>
      <c r="G544" s="205">
        <f>F544*26</f>
        <v>26</v>
      </c>
      <c r="H544" s="173">
        <v>0.25</v>
      </c>
      <c r="I544" s="207">
        <f>G544*H544</f>
        <v>6.5</v>
      </c>
      <c r="J544" s="338" t="s">
        <v>80</v>
      </c>
      <c r="K544" s="11"/>
      <c r="L544" s="16"/>
      <c r="M544" s="16"/>
      <c r="N544" s="16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AM544" s="12"/>
      <c r="AN544" s="12"/>
      <c r="AO544" s="12"/>
      <c r="AP544" s="12"/>
      <c r="AQ544" s="12"/>
      <c r="AR544" s="12"/>
      <c r="AS544" s="12"/>
    </row>
    <row r="545">
      <c r="A545" s="16"/>
      <c r="B545" s="169"/>
      <c r="C545" s="170"/>
      <c r="D545" s="170"/>
      <c r="E545" s="170"/>
      <c r="F545" s="178">
        <f>AD1</f>
        <v>1</v>
      </c>
      <c r="G545" s="205"/>
      <c r="H545" s="173"/>
      <c r="I545" s="207"/>
      <c r="J545" s="338"/>
      <c r="K545" s="11"/>
      <c r="L545" s="16"/>
      <c r="M545" s="16"/>
      <c r="N545" s="16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AM545" s="12"/>
      <c r="AN545" s="12"/>
      <c r="AO545" s="12"/>
      <c r="AP545" s="12"/>
      <c r="AQ545" s="12"/>
      <c r="AR545" s="12"/>
      <c r="AS545" s="12"/>
    </row>
    <row r="546">
      <c r="A546" s="16"/>
      <c r="B546" s="169" t="s">
        <v>42</v>
      </c>
      <c r="C546" s="170">
        <v>49.0</v>
      </c>
      <c r="D546" s="209" t="s">
        <v>685</v>
      </c>
      <c r="E546" s="209" t="s">
        <v>725</v>
      </c>
      <c r="F546" s="462">
        <f>AD1</f>
        <v>1</v>
      </c>
      <c r="G546" s="420">
        <f>F546*150</f>
        <v>150</v>
      </c>
      <c r="H546" s="421">
        <v>0.15</v>
      </c>
      <c r="I546" s="385">
        <f>G546*H546</f>
        <v>22.5</v>
      </c>
      <c r="J546" s="159" t="s">
        <v>80</v>
      </c>
      <c r="K546" s="11"/>
      <c r="L546" s="16"/>
      <c r="M546" s="16"/>
      <c r="N546" s="16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>
      <c r="A547" s="16"/>
      <c r="B547" s="248"/>
      <c r="C547" s="170"/>
      <c r="D547" s="170"/>
      <c r="E547" s="170"/>
      <c r="F547" s="463">
        <f>AD1</f>
        <v>1</v>
      </c>
      <c r="G547" s="575"/>
      <c r="H547" s="310"/>
      <c r="I547" s="576"/>
      <c r="J547" s="338"/>
      <c r="K547" s="11"/>
      <c r="L547" s="16"/>
      <c r="M547" s="16"/>
      <c r="N547" s="16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603"/>
      <c r="AN547" s="603"/>
      <c r="AO547" s="603"/>
      <c r="AP547" s="603"/>
      <c r="AQ547" s="603"/>
      <c r="AR547" s="603"/>
      <c r="AS547" s="603"/>
    </row>
    <row r="548">
      <c r="B548" s="419" t="s">
        <v>42</v>
      </c>
      <c r="C548" s="170">
        <v>50.0</v>
      </c>
      <c r="D548" s="168" t="s">
        <v>343</v>
      </c>
      <c r="E548" s="466" t="s">
        <v>789</v>
      </c>
      <c r="F548" s="462">
        <f>AD1</f>
        <v>1</v>
      </c>
      <c r="G548" s="420">
        <f>F548*90</f>
        <v>90</v>
      </c>
      <c r="H548" s="421">
        <v>0.3</v>
      </c>
      <c r="I548" s="468">
        <f>G548*H548</f>
        <v>27</v>
      </c>
      <c r="J548" s="338" t="s">
        <v>80</v>
      </c>
      <c r="L548" s="527"/>
      <c r="M548" s="527"/>
      <c r="N548" s="527"/>
      <c r="O548" s="527"/>
      <c r="P548" s="527"/>
      <c r="Q548" s="527"/>
      <c r="R548" s="527"/>
      <c r="S548" s="527"/>
      <c r="T548" s="527"/>
      <c r="U548" s="505"/>
      <c r="V548" s="505"/>
      <c r="W548" s="505"/>
      <c r="X548" s="505"/>
      <c r="Y548" s="505"/>
      <c r="Z548" s="505"/>
      <c r="AP548" s="12"/>
      <c r="AQ548" s="12"/>
      <c r="AR548" s="12"/>
      <c r="AS548" s="12"/>
    </row>
    <row r="549">
      <c r="B549" s="419"/>
      <c r="C549" s="168"/>
      <c r="D549" s="168"/>
      <c r="E549" s="466"/>
      <c r="F549" s="463">
        <f>AD1</f>
        <v>1</v>
      </c>
      <c r="G549" s="420"/>
      <c r="H549" s="421"/>
      <c r="I549" s="468"/>
      <c r="J549" s="479"/>
      <c r="L549" s="527"/>
      <c r="M549" s="527"/>
      <c r="N549" s="527"/>
      <c r="O549" s="527"/>
      <c r="P549" s="527"/>
      <c r="Q549" s="527"/>
      <c r="R549" s="527"/>
      <c r="S549" s="527"/>
      <c r="T549" s="527"/>
      <c r="U549" s="505"/>
      <c r="V549" s="505"/>
      <c r="W549" s="505"/>
      <c r="X549" s="505"/>
      <c r="Y549" s="505"/>
      <c r="Z549" s="505"/>
      <c r="AP549" s="12"/>
      <c r="AQ549" s="12"/>
      <c r="AR549" s="12"/>
      <c r="AS549" s="12"/>
    </row>
    <row r="550">
      <c r="A550" s="16"/>
      <c r="B550" s="600">
        <v>46143.0</v>
      </c>
      <c r="C550" s="170">
        <v>45.0</v>
      </c>
      <c r="D550" s="170" t="s">
        <v>247</v>
      </c>
      <c r="E550" s="170" t="s">
        <v>790</v>
      </c>
      <c r="F550" s="462">
        <f>AD1</f>
        <v>1</v>
      </c>
      <c r="G550" s="205">
        <f>F550*70</f>
        <v>70</v>
      </c>
      <c r="H550" s="173">
        <v>0.05</v>
      </c>
      <c r="I550" s="207">
        <f>G550*H550</f>
        <v>3.5</v>
      </c>
      <c r="J550" s="338" t="s">
        <v>80</v>
      </c>
      <c r="K550" s="11"/>
      <c r="L550" s="16"/>
      <c r="M550" s="16"/>
      <c r="N550" s="16"/>
      <c r="O550" s="12"/>
      <c r="P550" s="12"/>
      <c r="Q550" s="12"/>
      <c r="R550" s="12"/>
      <c r="S550" s="12"/>
      <c r="T550" s="12"/>
      <c r="U550" s="12"/>
      <c r="V550" s="12"/>
      <c r="W550" s="16"/>
      <c r="X550" s="12"/>
      <c r="Y550" s="12"/>
      <c r="Z550" s="12"/>
      <c r="AB550" s="12"/>
      <c r="AC550" s="12"/>
      <c r="AD550" s="12"/>
      <c r="AE550" s="12"/>
      <c r="AF550" s="12"/>
      <c r="AK550" s="469">
        <f>I550*10%</f>
        <v>0.35</v>
      </c>
      <c r="AL550" s="469">
        <f>I550*5%</f>
        <v>0.175</v>
      </c>
      <c r="AM550" s="469">
        <f>I550*10%</f>
        <v>0.35</v>
      </c>
      <c r="AN550" s="469">
        <f>I550*45%</f>
        <v>1.575</v>
      </c>
      <c r="AO550" s="469"/>
      <c r="AP550" s="469">
        <f>I550*10%</f>
        <v>0.35</v>
      </c>
      <c r="AQ550" s="469">
        <f>I550*20%</f>
        <v>0.7</v>
      </c>
    </row>
    <row r="551">
      <c r="A551" s="16"/>
      <c r="B551" s="169"/>
      <c r="C551" s="170"/>
      <c r="D551" s="170"/>
      <c r="E551" s="170"/>
      <c r="F551" s="462">
        <f>AD1</f>
        <v>1</v>
      </c>
      <c r="G551" s="205"/>
      <c r="H551" s="173"/>
      <c r="I551" s="207"/>
      <c r="J551" s="338"/>
      <c r="K551" s="11"/>
      <c r="L551" s="16"/>
      <c r="M551" s="16"/>
      <c r="N551" s="16"/>
      <c r="O551" s="12"/>
      <c r="P551" s="12"/>
      <c r="Q551" s="12"/>
      <c r="R551" s="12"/>
      <c r="S551" s="12"/>
      <c r="T551" s="12"/>
      <c r="U551" s="12"/>
      <c r="V551" s="12"/>
      <c r="W551" s="16"/>
      <c r="X551" s="12"/>
      <c r="Y551" s="12"/>
      <c r="Z551" s="12"/>
      <c r="AB551" s="12"/>
      <c r="AC551" s="12"/>
      <c r="AD551" s="12"/>
      <c r="AE551" s="12"/>
      <c r="AF551" s="12"/>
      <c r="AK551" s="386"/>
      <c r="AL551" s="386"/>
      <c r="AM551" s="386">
        <f>F551*H550*18</f>
        <v>0.9</v>
      </c>
      <c r="AN551" s="386">
        <f>F551*H550*91</f>
        <v>4.55</v>
      </c>
      <c r="AO551" s="386">
        <f>F551*H550*42</f>
        <v>2.1</v>
      </c>
      <c r="AP551" s="589">
        <f>F551*H550*54</f>
        <v>2.7</v>
      </c>
      <c r="AQ551" s="589">
        <f>F551*H550*9</f>
        <v>0.45</v>
      </c>
    </row>
    <row r="552">
      <c r="A552" s="16"/>
      <c r="B552" s="601">
        <v>46174.0</v>
      </c>
      <c r="C552" s="170">
        <v>36.0</v>
      </c>
      <c r="D552" s="170" t="s">
        <v>247</v>
      </c>
      <c r="E552" s="170" t="s">
        <v>791</v>
      </c>
      <c r="F552" s="462">
        <f>AD1</f>
        <v>1</v>
      </c>
      <c r="G552" s="205">
        <f>F552*100</f>
        <v>100</v>
      </c>
      <c r="H552" s="173">
        <v>0.05</v>
      </c>
      <c r="I552" s="207">
        <f>G552*H552</f>
        <v>5</v>
      </c>
      <c r="J552" s="159" t="s">
        <v>80</v>
      </c>
      <c r="K552" s="11"/>
      <c r="L552" s="16"/>
      <c r="M552" s="16"/>
      <c r="N552" s="16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F552" s="471">
        <f>I552*10%</f>
        <v>0.5</v>
      </c>
      <c r="AJ552" s="471">
        <f>I552*5%</f>
        <v>0.25</v>
      </c>
      <c r="AK552" s="471">
        <f>I552*10%</f>
        <v>0.5</v>
      </c>
      <c r="AL552" s="471">
        <f>I552*45%</f>
        <v>2.25</v>
      </c>
      <c r="AM552" s="471"/>
      <c r="AN552" s="471">
        <f>I552*10%</f>
        <v>0.5</v>
      </c>
      <c r="AO552" s="471">
        <f>I552*20%</f>
        <v>1</v>
      </c>
    </row>
    <row r="553">
      <c r="A553" s="16"/>
      <c r="B553" s="169"/>
      <c r="C553" s="170"/>
      <c r="D553" s="170"/>
      <c r="E553" s="170"/>
      <c r="F553" s="462">
        <f>AD1</f>
        <v>1</v>
      </c>
      <c r="G553" s="205"/>
      <c r="H553" s="173"/>
      <c r="I553" s="207"/>
      <c r="J553" s="159"/>
      <c r="K553" s="11"/>
      <c r="L553" s="16"/>
      <c r="M553" s="16"/>
      <c r="N553" s="16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F553" s="386"/>
      <c r="AJ553" s="386"/>
      <c r="AK553" s="386">
        <f>F553*H552*18</f>
        <v>0.9</v>
      </c>
      <c r="AL553" s="386">
        <f>F553*H552*91</f>
        <v>4.55</v>
      </c>
      <c r="AM553" s="386">
        <f>F553*H552*42</f>
        <v>2.1</v>
      </c>
      <c r="AN553" s="589">
        <f>F553*H552*54</f>
        <v>2.7</v>
      </c>
      <c r="AO553" s="589">
        <f>F553*H552*9</f>
        <v>0.45</v>
      </c>
    </row>
    <row r="554">
      <c r="B554" s="425" t="s">
        <v>47</v>
      </c>
      <c r="C554" s="426"/>
      <c r="D554" s="426"/>
      <c r="E554" s="426"/>
      <c r="F554" s="427"/>
      <c r="G554" s="428">
        <f>SUM(G505:G549)</f>
        <v>1821</v>
      </c>
      <c r="H554" s="429"/>
      <c r="I554" s="428">
        <f>SUM(I505:I549)</f>
        <v>400.5</v>
      </c>
      <c r="J554" s="430"/>
      <c r="L554" s="527"/>
      <c r="M554" s="527"/>
      <c r="N554" s="527"/>
      <c r="O554" s="527"/>
      <c r="P554" s="527"/>
      <c r="Q554" s="527"/>
      <c r="R554" s="527"/>
      <c r="S554" s="527"/>
      <c r="T554" s="527"/>
      <c r="U554" s="505"/>
      <c r="V554" s="505"/>
      <c r="W554" s="505"/>
      <c r="X554" s="505"/>
      <c r="Y554" s="505"/>
      <c r="Z554" s="505"/>
      <c r="AA554" s="505">
        <f t="shared" ref="AA554:AN554" si="74">AA505+AA548</f>
        <v>0</v>
      </c>
      <c r="AB554" s="505">
        <f t="shared" si="74"/>
        <v>0</v>
      </c>
      <c r="AC554" s="505">
        <f t="shared" si="74"/>
        <v>0</v>
      </c>
      <c r="AD554" s="505">
        <f t="shared" si="74"/>
        <v>0</v>
      </c>
      <c r="AE554" s="505">
        <f t="shared" si="74"/>
        <v>0</v>
      </c>
      <c r="AF554" s="505">
        <f t="shared" si="74"/>
        <v>0</v>
      </c>
      <c r="AG554" s="505">
        <f t="shared" si="74"/>
        <v>0</v>
      </c>
      <c r="AH554" s="505">
        <f t="shared" si="74"/>
        <v>0</v>
      </c>
      <c r="AI554" s="505">
        <f t="shared" si="74"/>
        <v>0</v>
      </c>
      <c r="AJ554" s="505">
        <f t="shared" si="74"/>
        <v>0</v>
      </c>
      <c r="AK554" s="505">
        <f t="shared" si="74"/>
        <v>0</v>
      </c>
      <c r="AL554" s="505">
        <f t="shared" si="74"/>
        <v>0</v>
      </c>
      <c r="AM554" s="505">
        <f t="shared" si="74"/>
        <v>0</v>
      </c>
      <c r="AN554" s="505">
        <f t="shared" si="74"/>
        <v>0</v>
      </c>
      <c r="AP554" s="12"/>
      <c r="AQ554" s="12"/>
      <c r="AR554" s="12"/>
      <c r="AS554" s="12"/>
    </row>
    <row r="555">
      <c r="A555" s="16"/>
      <c r="B555" s="83"/>
      <c r="C555" s="16"/>
      <c r="D555" s="16"/>
      <c r="E555" s="16"/>
      <c r="F555" s="462">
        <v>1.0</v>
      </c>
      <c r="G555" s="526">
        <f>SUM(G505:G549)</f>
        <v>1821</v>
      </c>
      <c r="H555" s="432"/>
      <c r="I555" s="526">
        <f>SUM(I505:I549)</f>
        <v>400.5</v>
      </c>
      <c r="J555" s="433"/>
      <c r="K555" s="37"/>
      <c r="L555" s="527"/>
      <c r="M555" s="527"/>
      <c r="N555" s="527"/>
      <c r="O555" s="527"/>
      <c r="P555" s="527"/>
      <c r="Q555" s="527"/>
      <c r="R555" s="527"/>
      <c r="S555" s="527"/>
      <c r="T555" s="527"/>
      <c r="U555" s="505"/>
      <c r="V555" s="505"/>
      <c r="W555" s="505"/>
      <c r="X555" s="505"/>
      <c r="Y555" s="505"/>
      <c r="Z555" s="505"/>
      <c r="AA555" s="505">
        <f t="shared" ref="AA555:AN555" si="75">AA506+AA549</f>
        <v>0</v>
      </c>
      <c r="AB555" s="505">
        <f t="shared" si="75"/>
        <v>0</v>
      </c>
      <c r="AC555" s="505">
        <f t="shared" si="75"/>
        <v>0</v>
      </c>
      <c r="AD555" s="505">
        <f t="shared" si="75"/>
        <v>0</v>
      </c>
      <c r="AE555" s="505">
        <f t="shared" si="75"/>
        <v>0</v>
      </c>
      <c r="AF555" s="505">
        <f t="shared" si="75"/>
        <v>0</v>
      </c>
      <c r="AG555" s="505">
        <f t="shared" si="75"/>
        <v>0</v>
      </c>
      <c r="AH555" s="505">
        <f t="shared" si="75"/>
        <v>0</v>
      </c>
      <c r="AI555" s="505">
        <f t="shared" si="75"/>
        <v>0</v>
      </c>
      <c r="AJ555" s="505">
        <f t="shared" si="75"/>
        <v>0</v>
      </c>
      <c r="AK555" s="505">
        <f t="shared" si="75"/>
        <v>0</v>
      </c>
      <c r="AL555" s="505">
        <f t="shared" si="75"/>
        <v>0</v>
      </c>
      <c r="AM555" s="505">
        <f t="shared" si="75"/>
        <v>0</v>
      </c>
      <c r="AN555" s="505">
        <f t="shared" si="75"/>
        <v>0</v>
      </c>
      <c r="AP555" s="12"/>
      <c r="AQ555" s="12"/>
      <c r="AR555" s="12"/>
      <c r="AS555" s="12"/>
    </row>
    <row r="556">
      <c r="A556" s="16"/>
      <c r="B556" s="604"/>
      <c r="C556" s="16"/>
      <c r="D556" s="16"/>
      <c r="E556" s="16"/>
      <c r="F556" s="83" t="s">
        <v>627</v>
      </c>
      <c r="J556" s="433"/>
      <c r="K556" s="37"/>
      <c r="L556" s="527" t="str">
        <f t="shared" ref="L556:P556" si="76">#REF!+#REF!+#REF!+#REF!+#REF!</f>
        <v>#REF!</v>
      </c>
      <c r="M556" s="527" t="str">
        <f t="shared" si="76"/>
        <v>#REF!</v>
      </c>
      <c r="N556" s="527" t="str">
        <f t="shared" si="76"/>
        <v>#REF!</v>
      </c>
      <c r="O556" s="527" t="str">
        <f t="shared" si="76"/>
        <v>#REF!</v>
      </c>
      <c r="P556" s="527" t="str">
        <f t="shared" si="76"/>
        <v>#REF!</v>
      </c>
      <c r="Q556" s="527" t="str">
        <f>#REF!+#REF!+#REF!</f>
        <v>#REF!</v>
      </c>
      <c r="R556" s="527" t="str">
        <f>#REF!+#REF!+#REF!+#REF!+#REF!+#REF!+#REF!</f>
        <v>#REF!</v>
      </c>
      <c r="S556" s="527" t="str">
        <f t="shared" ref="S556:T556" si="77">#REF!+#REF!+#REF!</f>
        <v>#REF!</v>
      </c>
      <c r="T556" s="527" t="str">
        <f t="shared" si="77"/>
        <v>#REF!</v>
      </c>
      <c r="U556" s="505" t="str">
        <f t="shared" ref="U556:V556" si="78">U396+U431+U398+U394+U293+U404+U406+U545+U473+U435+#REF!+U421+U493+U423+U541+U539+#REF!+U425+U537+U547+#REF!</f>
        <v>#REF!</v>
      </c>
      <c r="V556" s="505" t="str">
        <f t="shared" si="78"/>
        <v>#REF!</v>
      </c>
      <c r="W556" s="505" t="str">
        <f t="shared" ref="W556:Z556" si="79">W409+W417+W461+W423+W425+W541+W539+#REF!+W553+W441+W429+W453+W545+W547+W437+W543+W449+W519+W537+#REF!+W523+W512+W469+W527+W473+W529+W516+W481+W459</f>
        <v>#REF!</v>
      </c>
      <c r="X556" s="505" t="str">
        <f t="shared" si="79"/>
        <v>#REF!</v>
      </c>
      <c r="Y556" s="505" t="str">
        <f t="shared" si="79"/>
        <v>#REF!</v>
      </c>
      <c r="Z556" s="505" t="str">
        <f t="shared" si="79"/>
        <v>#REF!</v>
      </c>
      <c r="AA556" s="12"/>
      <c r="AB556" s="12"/>
      <c r="AC556" s="12"/>
      <c r="AD556" s="12"/>
      <c r="AE556" s="12"/>
      <c r="AF556" s="595">
        <f t="shared" ref="AF556:AF557" si="80">SUM(AA554:AF554)</f>
        <v>0</v>
      </c>
      <c r="AG556" s="12"/>
      <c r="AH556" s="12"/>
      <c r="AI556" s="12"/>
      <c r="AJ556" s="12"/>
      <c r="AK556" s="12"/>
      <c r="AL556" s="596">
        <f t="shared" ref="AL556:AL557" si="81">SUM(AA554:AN554)</f>
        <v>0</v>
      </c>
      <c r="AM556" s="12"/>
      <c r="AN556" s="12"/>
      <c r="AP556" s="12"/>
      <c r="AQ556" s="12"/>
      <c r="AR556" s="12"/>
      <c r="AS556" s="12"/>
    </row>
    <row r="557">
      <c r="A557" s="16"/>
      <c r="B557" s="605"/>
      <c r="C557" s="12"/>
      <c r="D557" s="12"/>
      <c r="E557" s="16"/>
      <c r="F557" s="16"/>
      <c r="G557" s="593"/>
      <c r="H557" s="16"/>
      <c r="J557" s="433"/>
      <c r="K557" s="37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2"/>
      <c r="Y557" s="12"/>
      <c r="Z557" s="12"/>
      <c r="AA557" s="12"/>
      <c r="AB557" s="12"/>
      <c r="AC557" s="12"/>
      <c r="AD557" s="12"/>
      <c r="AE557" s="12"/>
      <c r="AF557" s="595">
        <f t="shared" si="80"/>
        <v>0</v>
      </c>
      <c r="AG557" s="12"/>
      <c r="AH557" s="12"/>
      <c r="AI557" s="12"/>
      <c r="AJ557" s="12"/>
      <c r="AK557" s="12"/>
      <c r="AL557" s="596">
        <f t="shared" si="81"/>
        <v>0</v>
      </c>
      <c r="AM557" s="12"/>
      <c r="AN557" s="12"/>
      <c r="AP557" s="12"/>
      <c r="AQ557" s="12"/>
      <c r="AR557" s="12"/>
      <c r="AS557" s="12"/>
    </row>
    <row r="558">
      <c r="A558" s="16"/>
      <c r="B558" s="605"/>
      <c r="C558" s="12"/>
      <c r="D558" s="12"/>
      <c r="E558" s="16"/>
      <c r="F558" s="16"/>
      <c r="G558" s="593"/>
      <c r="H558" s="16"/>
      <c r="J558" s="433"/>
      <c r="K558" s="37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2"/>
      <c r="Y558" s="12"/>
      <c r="Z558" s="12"/>
      <c r="AP558" s="12"/>
      <c r="AQ558" s="12"/>
      <c r="AR558" s="12"/>
      <c r="AS558" s="12"/>
    </row>
    <row r="559">
      <c r="A559" s="16"/>
      <c r="B559" s="605"/>
      <c r="C559" s="12"/>
      <c r="D559" s="28" t="s">
        <v>71</v>
      </c>
      <c r="E559" s="83" t="s">
        <v>792</v>
      </c>
      <c r="F559" s="606">
        <v>2025.0</v>
      </c>
      <c r="G559" s="607">
        <f>G214+G345+G501</f>
        <v>0</v>
      </c>
      <c r="H559" s="608"/>
      <c r="I559" s="607">
        <f>I214+I345+I501</f>
        <v>0</v>
      </c>
      <c r="J559" s="433"/>
      <c r="K559" s="37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2"/>
      <c r="Y559" s="12"/>
      <c r="Z559" s="12"/>
      <c r="AP559" s="12"/>
      <c r="AQ559" s="12"/>
      <c r="AR559" s="12"/>
      <c r="AS559" s="12"/>
    </row>
    <row r="560">
      <c r="A560" s="16"/>
      <c r="B560" s="605"/>
      <c r="C560" s="12"/>
      <c r="D560" s="12"/>
      <c r="E560" s="16"/>
      <c r="F560" s="16"/>
      <c r="G560" s="609"/>
      <c r="H560" s="12"/>
      <c r="I560" s="609">
        <f>I27+I33+I284+I286+I440+I410+I412+I414+I436+I420+I542+I428</f>
        <v>35</v>
      </c>
      <c r="J560" s="433"/>
      <c r="K560" s="37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2"/>
      <c r="Y560" s="12"/>
      <c r="Z560" s="12"/>
      <c r="AP560" s="12"/>
      <c r="AQ560" s="422">
        <f>AQ218+AQ348+AQ504</f>
        <v>494</v>
      </c>
      <c r="AR560" s="423" t="s">
        <v>600</v>
      </c>
      <c r="AS560" s="12"/>
    </row>
    <row r="561">
      <c r="A561" s="531"/>
      <c r="B561" s="605"/>
      <c r="C561" s="12"/>
      <c r="D561" s="12"/>
      <c r="E561" s="16"/>
      <c r="F561" s="16"/>
      <c r="G561" s="528"/>
      <c r="H561" s="531"/>
      <c r="I561" s="610" t="s">
        <v>793</v>
      </c>
      <c r="J561" s="611"/>
      <c r="K561" s="153"/>
      <c r="L561" s="40" t="s">
        <v>24</v>
      </c>
      <c r="M561" s="40" t="s">
        <v>25</v>
      </c>
      <c r="N561" s="40" t="s">
        <v>26</v>
      </c>
      <c r="O561" s="40" t="s">
        <v>27</v>
      </c>
      <c r="P561" s="40" t="s">
        <v>28</v>
      </c>
      <c r="Q561" s="40" t="s">
        <v>29</v>
      </c>
      <c r="R561" s="40" t="s">
        <v>30</v>
      </c>
      <c r="S561" s="40" t="s">
        <v>31</v>
      </c>
      <c r="T561" s="40" t="s">
        <v>32</v>
      </c>
      <c r="U561" s="40" t="s">
        <v>24</v>
      </c>
      <c r="V561" s="40" t="s">
        <v>25</v>
      </c>
      <c r="W561" s="40" t="s">
        <v>26</v>
      </c>
      <c r="X561" s="40" t="s">
        <v>27</v>
      </c>
      <c r="Y561" s="40" t="s">
        <v>28</v>
      </c>
      <c r="Z561" s="40" t="s">
        <v>29</v>
      </c>
      <c r="AA561" s="40" t="s">
        <v>30</v>
      </c>
      <c r="AB561" s="40" t="s">
        <v>31</v>
      </c>
      <c r="AC561" s="40" t="s">
        <v>32</v>
      </c>
      <c r="AD561" s="40" t="s">
        <v>33</v>
      </c>
      <c r="AE561" s="40" t="s">
        <v>34</v>
      </c>
      <c r="AF561" s="40" t="s">
        <v>35</v>
      </c>
      <c r="AG561" s="43" t="s">
        <v>24</v>
      </c>
      <c r="AH561" s="43" t="s">
        <v>25</v>
      </c>
      <c r="AI561" s="43" t="s">
        <v>26</v>
      </c>
      <c r="AJ561" s="43" t="s">
        <v>27</v>
      </c>
      <c r="AK561" s="43" t="s">
        <v>28</v>
      </c>
      <c r="AL561" s="43" t="s">
        <v>29</v>
      </c>
      <c r="AM561" s="43" t="s">
        <v>30</v>
      </c>
      <c r="AN561" s="43" t="s">
        <v>31</v>
      </c>
      <c r="AO561" s="43" t="s">
        <v>32</v>
      </c>
      <c r="AP561" s="43" t="s">
        <v>33</v>
      </c>
      <c r="AQ561" s="43" t="s">
        <v>34</v>
      </c>
      <c r="AR561" s="43" t="s">
        <v>35</v>
      </c>
      <c r="AS561" s="12"/>
    </row>
    <row r="562">
      <c r="A562" s="531"/>
      <c r="B562" s="605"/>
      <c r="C562" s="12"/>
      <c r="D562" s="12"/>
      <c r="E562" s="16"/>
      <c r="F562" s="16"/>
      <c r="G562" s="528"/>
      <c r="H562" s="531"/>
      <c r="I562" s="612" t="s">
        <v>794</v>
      </c>
      <c r="J562" s="613"/>
      <c r="K562" s="614"/>
      <c r="L562" s="207" t="str">
        <f t="shared" ref="L562:T562" si="82">(L264+#REF!+L381+L501)*1000000</f>
        <v>#REF!</v>
      </c>
      <c r="M562" s="207" t="str">
        <f t="shared" si="82"/>
        <v>#REF!</v>
      </c>
      <c r="N562" s="207" t="str">
        <f t="shared" si="82"/>
        <v>#REF!</v>
      </c>
      <c r="O562" s="207" t="str">
        <f t="shared" si="82"/>
        <v>#REF!</v>
      </c>
      <c r="P562" s="207" t="str">
        <f t="shared" si="82"/>
        <v>#REF!</v>
      </c>
      <c r="Q562" s="207" t="str">
        <f t="shared" si="82"/>
        <v>#REF!</v>
      </c>
      <c r="R562" s="207" t="str">
        <f t="shared" si="82"/>
        <v>#REF!</v>
      </c>
      <c r="S562" s="207" t="str">
        <f t="shared" si="82"/>
        <v>#REF!</v>
      </c>
      <c r="T562" s="207" t="str">
        <f t="shared" si="82"/>
        <v>#REF!</v>
      </c>
      <c r="U562" s="207" t="str">
        <f t="shared" ref="U562:Z562" si="83">(U264+U381+U501)*1000000</f>
        <v>#REF!</v>
      </c>
      <c r="V562" s="207" t="str">
        <f t="shared" si="83"/>
        <v>#REF!</v>
      </c>
      <c r="W562" s="207" t="str">
        <f t="shared" si="83"/>
        <v>#REF!</v>
      </c>
      <c r="X562" s="207" t="str">
        <f t="shared" si="83"/>
        <v>#REF!</v>
      </c>
      <c r="Y562" s="207" t="str">
        <f t="shared" si="83"/>
        <v>#REF!</v>
      </c>
      <c r="Z562" s="207" t="str">
        <f t="shared" si="83"/>
        <v>#REF!</v>
      </c>
      <c r="AA562" s="385" t="str">
        <f t="shared" ref="AA562:AR562" si="84">(AA214+AA345+AA501)*1000000</f>
        <v>#REF!</v>
      </c>
      <c r="AB562" s="385" t="str">
        <f t="shared" si="84"/>
        <v>#REF!</v>
      </c>
      <c r="AC562" s="385" t="str">
        <f t="shared" si="84"/>
        <v>#REF!</v>
      </c>
      <c r="AD562" s="385">
        <f t="shared" si="84"/>
        <v>0</v>
      </c>
      <c r="AE562" s="385">
        <f t="shared" si="84"/>
        <v>0</v>
      </c>
      <c r="AF562" s="385">
        <f t="shared" si="84"/>
        <v>43600000</v>
      </c>
      <c r="AG562" s="385">
        <f t="shared" si="84"/>
        <v>22500000</v>
      </c>
      <c r="AH562" s="385">
        <f t="shared" si="84"/>
        <v>103750000</v>
      </c>
      <c r="AI562" s="385">
        <f t="shared" si="84"/>
        <v>45200000</v>
      </c>
      <c r="AJ562" s="385">
        <f t="shared" si="84"/>
        <v>37665000</v>
      </c>
      <c r="AK562" s="385">
        <f t="shared" si="84"/>
        <v>62060000</v>
      </c>
      <c r="AL562" s="385">
        <f t="shared" si="84"/>
        <v>82710000</v>
      </c>
      <c r="AM562" s="385">
        <f t="shared" si="84"/>
        <v>42555000</v>
      </c>
      <c r="AN562" s="385">
        <f t="shared" si="84"/>
        <v>53460000</v>
      </c>
      <c r="AO562" s="385">
        <f t="shared" si="84"/>
        <v>37800000</v>
      </c>
      <c r="AP562" s="385">
        <f t="shared" si="84"/>
        <v>6300000</v>
      </c>
      <c r="AQ562" s="385">
        <f t="shared" si="84"/>
        <v>0</v>
      </c>
      <c r="AR562" s="385">
        <f t="shared" si="84"/>
        <v>0</v>
      </c>
      <c r="AS562" s="12"/>
    </row>
    <row r="563">
      <c r="A563" s="531"/>
      <c r="B563" s="605"/>
      <c r="C563" s="12"/>
      <c r="D563" s="12"/>
      <c r="E563" s="16"/>
      <c r="F563" s="615"/>
      <c r="G563" s="616"/>
      <c r="H563" s="617"/>
      <c r="I563" s="612" t="s">
        <v>795</v>
      </c>
      <c r="J563" s="613"/>
      <c r="K563" s="614"/>
      <c r="L563" s="207" t="str">
        <f t="shared" ref="L563:T563" si="85">(L265+#REF!+L382+L556)*1000000</f>
        <v>#REF!</v>
      </c>
      <c r="M563" s="207" t="str">
        <f t="shared" si="85"/>
        <v>#REF!</v>
      </c>
      <c r="N563" s="207" t="str">
        <f t="shared" si="85"/>
        <v>#REF!</v>
      </c>
      <c r="O563" s="207" t="str">
        <f t="shared" si="85"/>
        <v>#REF!</v>
      </c>
      <c r="P563" s="207" t="str">
        <f t="shared" si="85"/>
        <v>#REF!</v>
      </c>
      <c r="Q563" s="207" t="str">
        <f t="shared" si="85"/>
        <v>#REF!</v>
      </c>
      <c r="R563" s="207" t="str">
        <f t="shared" si="85"/>
        <v>#REF!</v>
      </c>
      <c r="S563" s="207" t="str">
        <f t="shared" si="85"/>
        <v>#REF!</v>
      </c>
      <c r="T563" s="207" t="str">
        <f t="shared" si="85"/>
        <v>#REF!</v>
      </c>
      <c r="U563" s="207" t="str">
        <f t="shared" ref="U563:Z563" si="86">(U265+U382+U556)*1000000</f>
        <v>#REF!</v>
      </c>
      <c r="V563" s="207" t="str">
        <f t="shared" si="86"/>
        <v>#REF!</v>
      </c>
      <c r="W563" s="207" t="str">
        <f t="shared" si="86"/>
        <v>#REF!</v>
      </c>
      <c r="X563" s="207" t="str">
        <f t="shared" si="86"/>
        <v>#REF!</v>
      </c>
      <c r="Y563" s="207" t="str">
        <f t="shared" si="86"/>
        <v>#REF!</v>
      </c>
      <c r="Z563" s="207" t="str">
        <f t="shared" si="86"/>
        <v>#REF!</v>
      </c>
      <c r="AA563" s="207" t="str">
        <f t="shared" ref="AA563:AR563" si="87">(AA215+AA346+AA502)*1000000</f>
        <v>#REF!</v>
      </c>
      <c r="AB563" s="207" t="str">
        <f t="shared" si="87"/>
        <v>#REF!</v>
      </c>
      <c r="AC563" s="207" t="str">
        <f t="shared" si="87"/>
        <v>#REF!</v>
      </c>
      <c r="AD563" s="207">
        <f t="shared" si="87"/>
        <v>0</v>
      </c>
      <c r="AE563" s="207">
        <f t="shared" si="87"/>
        <v>0</v>
      </c>
      <c r="AF563" s="207">
        <f t="shared" si="87"/>
        <v>5530000</v>
      </c>
      <c r="AG563" s="207">
        <f t="shared" si="87"/>
        <v>1300000</v>
      </c>
      <c r="AH563" s="207">
        <f t="shared" si="87"/>
        <v>6660000</v>
      </c>
      <c r="AI563" s="207">
        <f t="shared" si="87"/>
        <v>12800000</v>
      </c>
      <c r="AJ563" s="207">
        <f t="shared" si="87"/>
        <v>26820000</v>
      </c>
      <c r="AK563" s="207">
        <f t="shared" si="87"/>
        <v>38750000</v>
      </c>
      <c r="AL563" s="207">
        <f t="shared" si="87"/>
        <v>51570000</v>
      </c>
      <c r="AM563" s="207">
        <f t="shared" si="87"/>
        <v>34640000</v>
      </c>
      <c r="AN563" s="207">
        <f t="shared" si="87"/>
        <v>88400000</v>
      </c>
      <c r="AO563" s="207">
        <f t="shared" si="87"/>
        <v>91800000</v>
      </c>
      <c r="AP563" s="207">
        <f t="shared" si="87"/>
        <v>44300000</v>
      </c>
      <c r="AQ563" s="207">
        <f t="shared" si="87"/>
        <v>5400000</v>
      </c>
      <c r="AR563" s="207">
        <f t="shared" si="87"/>
        <v>37100000</v>
      </c>
      <c r="AS563" s="12"/>
    </row>
    <row r="564">
      <c r="A564" s="12"/>
      <c r="B564" s="605"/>
      <c r="C564" s="12"/>
      <c r="D564" s="12"/>
      <c r="E564" s="16"/>
      <c r="F564" s="12"/>
      <c r="G564" s="609"/>
      <c r="H564" s="12"/>
      <c r="I564" s="609"/>
      <c r="J564" s="618"/>
      <c r="K564" s="619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529" t="str">
        <f t="shared" ref="AF564:AF565" si="88">SUM(AA562:AF562)</f>
        <v>#REF!</v>
      </c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</row>
    <row r="565">
      <c r="A565" s="12"/>
      <c r="B565" s="620"/>
      <c r="C565" s="620"/>
      <c r="D565" s="620"/>
      <c r="E565" s="28"/>
      <c r="F565" s="28"/>
      <c r="G565" s="94"/>
      <c r="H565" s="12"/>
      <c r="I565" s="609"/>
      <c r="J565" s="618"/>
      <c r="K565" s="619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529" t="str">
        <f t="shared" si="88"/>
        <v>#REF!</v>
      </c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</row>
    <row r="566">
      <c r="A566" s="12"/>
      <c r="B566" s="620"/>
      <c r="C566" s="620"/>
      <c r="D566" s="620"/>
      <c r="E566" s="28"/>
      <c r="F566" s="28"/>
      <c r="G566" s="94"/>
      <c r="H566" s="12"/>
      <c r="I566" s="609"/>
      <c r="J566" s="618"/>
      <c r="K566" s="619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</row>
    <row r="567">
      <c r="A567" s="12"/>
      <c r="B567" s="620"/>
      <c r="C567" s="620"/>
      <c r="D567" s="620"/>
      <c r="E567" s="28"/>
      <c r="F567" s="28"/>
      <c r="G567" s="94"/>
      <c r="H567" s="12"/>
      <c r="I567" s="621" t="s">
        <v>796</v>
      </c>
      <c r="J567" s="234"/>
      <c r="K567" s="235"/>
      <c r="L567" s="40" t="s">
        <v>24</v>
      </c>
      <c r="M567" s="40" t="s">
        <v>25</v>
      </c>
      <c r="N567" s="40" t="s">
        <v>26</v>
      </c>
      <c r="O567" s="40" t="s">
        <v>27</v>
      </c>
      <c r="P567" s="40" t="s">
        <v>28</v>
      </c>
      <c r="Q567" s="40" t="s">
        <v>29</v>
      </c>
      <c r="R567" s="40" t="s">
        <v>30</v>
      </c>
      <c r="S567" s="40" t="s">
        <v>31</v>
      </c>
      <c r="T567" s="40" t="s">
        <v>32</v>
      </c>
      <c r="U567" s="40" t="s">
        <v>24</v>
      </c>
      <c r="V567" s="40" t="s">
        <v>25</v>
      </c>
      <c r="W567" s="40" t="s">
        <v>26</v>
      </c>
      <c r="X567" s="40" t="s">
        <v>27</v>
      </c>
      <c r="Y567" s="40" t="s">
        <v>28</v>
      </c>
      <c r="Z567" s="40" t="s">
        <v>29</v>
      </c>
      <c r="AA567" s="40" t="s">
        <v>30</v>
      </c>
      <c r="AB567" s="40" t="s">
        <v>31</v>
      </c>
      <c r="AC567" s="40" t="s">
        <v>32</v>
      </c>
      <c r="AD567" s="40" t="s">
        <v>33</v>
      </c>
      <c r="AE567" s="40" t="s">
        <v>34</v>
      </c>
      <c r="AF567" s="40" t="s">
        <v>35</v>
      </c>
      <c r="AG567" s="40" t="s">
        <v>125</v>
      </c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</row>
    <row r="568">
      <c r="A568" s="435"/>
      <c r="B568" s="620"/>
      <c r="C568" s="417"/>
      <c r="D568" s="417"/>
      <c r="E568" s="415"/>
      <c r="F568" s="197"/>
      <c r="G568" s="622"/>
      <c r="H568" s="531"/>
      <c r="I568" s="623" t="s">
        <v>58</v>
      </c>
      <c r="J568" s="611"/>
      <c r="K568" s="153"/>
      <c r="L568" s="531"/>
      <c r="M568" s="531"/>
      <c r="N568" s="531"/>
      <c r="O568" s="531"/>
      <c r="P568" s="531"/>
      <c r="Q568" s="531"/>
      <c r="R568" s="531"/>
      <c r="S568" s="531"/>
      <c r="T568" s="531"/>
      <c r="U568" s="624">
        <v>0.0</v>
      </c>
      <c r="V568" s="625">
        <v>0.0</v>
      </c>
      <c r="W568" s="625">
        <v>6.0</v>
      </c>
      <c r="X568" s="625">
        <v>17.0</v>
      </c>
      <c r="Y568" s="625">
        <v>14.0</v>
      </c>
      <c r="Z568" s="625">
        <v>35.0</v>
      </c>
      <c r="AA568" s="625">
        <v>31.0</v>
      </c>
      <c r="AB568" s="625">
        <v>43.0</v>
      </c>
      <c r="AC568" s="625">
        <v>36.0</v>
      </c>
      <c r="AD568" s="625">
        <v>71.0</v>
      </c>
      <c r="AE568" s="625">
        <v>90.0</v>
      </c>
      <c r="AF568" s="625">
        <v>73.0</v>
      </c>
      <c r="AG568" s="529">
        <f t="shared" ref="AG568:AG571" si="89">SUM(U568:AF568)</f>
        <v>416</v>
      </c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</row>
    <row r="569">
      <c r="A569" s="435"/>
      <c r="B569" s="620"/>
      <c r="C569" s="417"/>
      <c r="D569" s="417"/>
      <c r="E569" s="415"/>
      <c r="F569" s="415"/>
      <c r="G569" s="622"/>
      <c r="H569" s="531"/>
      <c r="I569" s="623" t="s">
        <v>634</v>
      </c>
      <c r="J569" s="611"/>
      <c r="K569" s="153"/>
      <c r="L569" s="531"/>
      <c r="M569" s="531"/>
      <c r="N569" s="531"/>
      <c r="O569" s="531"/>
      <c r="P569" s="531"/>
      <c r="Q569" s="531"/>
      <c r="R569" s="531"/>
      <c r="S569" s="531"/>
      <c r="T569" s="531"/>
      <c r="U569" s="624">
        <v>0.0</v>
      </c>
      <c r="V569" s="625">
        <v>13.0</v>
      </c>
      <c r="W569" s="625">
        <v>13.0</v>
      </c>
      <c r="X569" s="625">
        <v>18.0</v>
      </c>
      <c r="Y569" s="625">
        <v>15.0</v>
      </c>
      <c r="Z569" s="625">
        <v>8.0</v>
      </c>
      <c r="AA569" s="625">
        <v>20.0</v>
      </c>
      <c r="AB569" s="625">
        <v>49.0</v>
      </c>
      <c r="AC569" s="625">
        <v>55.0</v>
      </c>
      <c r="AD569" s="625">
        <v>79.0</v>
      </c>
      <c r="AE569" s="625">
        <v>148.0</v>
      </c>
      <c r="AF569" s="625">
        <v>190.0</v>
      </c>
      <c r="AG569" s="529">
        <f t="shared" si="89"/>
        <v>608</v>
      </c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</row>
    <row r="570">
      <c r="A570" s="435"/>
      <c r="B570" s="620"/>
      <c r="C570" s="417"/>
      <c r="D570" s="417"/>
      <c r="E570" s="415"/>
      <c r="F570" s="415"/>
      <c r="G570" s="622"/>
      <c r="H570" s="531"/>
      <c r="I570" s="623" t="s">
        <v>40</v>
      </c>
      <c r="J570" s="611"/>
      <c r="K570" s="153"/>
      <c r="L570" s="531"/>
      <c r="M570" s="531"/>
      <c r="N570" s="531"/>
      <c r="O570" s="531"/>
      <c r="P570" s="531"/>
      <c r="Q570" s="531"/>
      <c r="R570" s="531"/>
      <c r="S570" s="531"/>
      <c r="T570" s="531"/>
      <c r="U570" s="624">
        <v>0.0</v>
      </c>
      <c r="V570" s="625">
        <v>20.0</v>
      </c>
      <c r="W570" s="625">
        <v>13.0</v>
      </c>
      <c r="X570" s="625">
        <v>9.0</v>
      </c>
      <c r="Y570" s="625">
        <v>22.0</v>
      </c>
      <c r="Z570" s="625">
        <v>26.0</v>
      </c>
      <c r="AA570" s="625">
        <v>29.0</v>
      </c>
      <c r="AB570" s="625">
        <v>77.0</v>
      </c>
      <c r="AC570" s="625">
        <v>30.0</v>
      </c>
      <c r="AD570" s="625">
        <v>100.0</v>
      </c>
      <c r="AE570" s="625">
        <v>131.0</v>
      </c>
      <c r="AF570" s="625">
        <v>75.0</v>
      </c>
      <c r="AG570" s="529">
        <f t="shared" si="89"/>
        <v>532</v>
      </c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</row>
    <row r="571">
      <c r="A571" s="435"/>
      <c r="B571" s="620"/>
      <c r="C571" s="417"/>
      <c r="D571" s="417"/>
      <c r="E571" s="415"/>
      <c r="F571" s="415"/>
      <c r="G571" s="622"/>
      <c r="H571" s="531"/>
      <c r="I571" s="94"/>
      <c r="J571" s="626"/>
      <c r="K571" s="530"/>
      <c r="L571" s="531"/>
      <c r="M571" s="531"/>
      <c r="N571" s="531"/>
      <c r="O571" s="531"/>
      <c r="P571" s="531"/>
      <c r="Q571" s="531"/>
      <c r="R571" s="531"/>
      <c r="S571" s="531"/>
      <c r="T571" s="531"/>
      <c r="U571" s="627">
        <f t="shared" ref="U571:AF571" si="90">SUM(U568:U570)*1000000</f>
        <v>0</v>
      </c>
      <c r="V571" s="627">
        <f t="shared" si="90"/>
        <v>33000000</v>
      </c>
      <c r="W571" s="627">
        <f t="shared" si="90"/>
        <v>32000000</v>
      </c>
      <c r="X571" s="627">
        <f t="shared" si="90"/>
        <v>44000000</v>
      </c>
      <c r="Y571" s="627">
        <f t="shared" si="90"/>
        <v>51000000</v>
      </c>
      <c r="Z571" s="627">
        <f t="shared" si="90"/>
        <v>69000000</v>
      </c>
      <c r="AA571" s="627">
        <f t="shared" si="90"/>
        <v>80000000</v>
      </c>
      <c r="AB571" s="627">
        <f t="shared" si="90"/>
        <v>169000000</v>
      </c>
      <c r="AC571" s="627">
        <f t="shared" si="90"/>
        <v>121000000</v>
      </c>
      <c r="AD571" s="627">
        <f t="shared" si="90"/>
        <v>250000000</v>
      </c>
      <c r="AE571" s="627">
        <f t="shared" si="90"/>
        <v>369000000</v>
      </c>
      <c r="AF571" s="627">
        <f t="shared" si="90"/>
        <v>338000000</v>
      </c>
      <c r="AG571" s="628">
        <f t="shared" si="89"/>
        <v>1556000000</v>
      </c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</row>
    <row r="572">
      <c r="A572" s="435"/>
      <c r="B572" s="629"/>
      <c r="C572" s="417"/>
      <c r="D572" s="417"/>
      <c r="E572" s="531"/>
      <c r="F572" s="531"/>
      <c r="G572" s="630"/>
      <c r="H572" s="531"/>
      <c r="I572" s="94"/>
      <c r="J572" s="626"/>
      <c r="K572" s="530"/>
      <c r="L572" s="531"/>
      <c r="M572" s="531"/>
      <c r="N572" s="531"/>
      <c r="O572" s="531"/>
      <c r="P572" s="531"/>
      <c r="Q572" s="531"/>
      <c r="R572" s="531"/>
      <c r="S572" s="531"/>
      <c r="T572" s="531"/>
      <c r="U572" s="531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</row>
    <row r="573">
      <c r="A573" s="12"/>
      <c r="B573" s="631"/>
      <c r="C573" s="12"/>
      <c r="D573" s="12"/>
      <c r="E573" s="12"/>
      <c r="F573" s="12"/>
      <c r="G573" s="609"/>
      <c r="H573" s="12"/>
      <c r="I573" s="623" t="s">
        <v>58</v>
      </c>
      <c r="J573" s="611"/>
      <c r="K573" s="153"/>
      <c r="L573" s="12"/>
      <c r="M573" s="12"/>
      <c r="N573" s="12"/>
      <c r="O573" s="12"/>
      <c r="P573" s="12"/>
      <c r="Q573" s="12"/>
      <c r="R573" s="12"/>
      <c r="S573" s="12"/>
      <c r="T573" s="12"/>
      <c r="V573" s="624">
        <v>0.0</v>
      </c>
      <c r="W573" s="625">
        <v>0.0</v>
      </c>
      <c r="X573" s="625">
        <v>0.0</v>
      </c>
      <c r="Y573" s="625">
        <v>6.0</v>
      </c>
      <c r="Z573" s="625">
        <v>3.0</v>
      </c>
      <c r="AA573" s="625">
        <v>10.0</v>
      </c>
      <c r="AB573" s="625">
        <v>8.0</v>
      </c>
      <c r="AC573" s="625">
        <v>15.0</v>
      </c>
      <c r="AD573" s="625">
        <v>10.0</v>
      </c>
      <c r="AE573" s="625">
        <v>23.0</v>
      </c>
      <c r="AF573" s="625">
        <v>31.0</v>
      </c>
      <c r="AG573" s="625">
        <v>26.0</v>
      </c>
      <c r="AH573" s="529">
        <f t="shared" ref="AH573:AH575" si="91">SUM(V573:AG573)</f>
        <v>132</v>
      </c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</row>
    <row r="574">
      <c r="A574" s="12"/>
      <c r="B574" s="631"/>
      <c r="C574" s="28"/>
      <c r="D574" s="28"/>
      <c r="E574" s="12"/>
      <c r="F574" s="12"/>
      <c r="G574" s="609"/>
      <c r="H574" s="12"/>
      <c r="I574" s="623" t="s">
        <v>634</v>
      </c>
      <c r="J574" s="611"/>
      <c r="K574" s="153"/>
      <c r="L574" s="12"/>
      <c r="M574" s="12"/>
      <c r="N574" s="12"/>
      <c r="O574" s="12"/>
      <c r="P574" s="12"/>
      <c r="Q574" s="12"/>
      <c r="R574" s="12"/>
      <c r="S574" s="12"/>
      <c r="T574" s="12"/>
      <c r="V574" s="624">
        <v>0.0</v>
      </c>
      <c r="W574" s="625">
        <v>5.0</v>
      </c>
      <c r="X574" s="625">
        <v>6.0</v>
      </c>
      <c r="Y574" s="625">
        <v>7.0</v>
      </c>
      <c r="Z574" s="625">
        <v>6.0</v>
      </c>
      <c r="AA574" s="625">
        <v>2.0</v>
      </c>
      <c r="AB574" s="625">
        <v>7.0</v>
      </c>
      <c r="AC574" s="625">
        <v>18.0</v>
      </c>
      <c r="AD574" s="625">
        <v>21.0</v>
      </c>
      <c r="AE574" s="625">
        <v>29.0</v>
      </c>
      <c r="AF574" s="625">
        <v>54.0</v>
      </c>
      <c r="AG574" s="625">
        <v>71.0</v>
      </c>
      <c r="AH574" s="529">
        <f t="shared" si="91"/>
        <v>226</v>
      </c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</row>
    <row r="575">
      <c r="A575" s="12"/>
      <c r="B575" s="631"/>
      <c r="C575" s="28"/>
      <c r="D575" s="28"/>
      <c r="E575" s="12"/>
      <c r="F575" s="12"/>
      <c r="G575" s="609"/>
      <c r="H575" s="12"/>
      <c r="I575" s="623" t="s">
        <v>40</v>
      </c>
      <c r="J575" s="611"/>
      <c r="K575" s="153"/>
      <c r="L575" s="12"/>
      <c r="M575" s="12"/>
      <c r="N575" s="12"/>
      <c r="O575" s="12"/>
      <c r="P575" s="12"/>
      <c r="Q575" s="12"/>
      <c r="R575" s="12"/>
      <c r="S575" s="12"/>
      <c r="T575" s="12"/>
      <c r="V575" s="624">
        <v>0.0</v>
      </c>
      <c r="W575" s="625">
        <v>8.0</v>
      </c>
      <c r="X575" s="625">
        <v>7.0</v>
      </c>
      <c r="Y575" s="625">
        <v>2.0</v>
      </c>
      <c r="Z575" s="625">
        <v>3.0</v>
      </c>
      <c r="AA575" s="625">
        <v>7.0</v>
      </c>
      <c r="AB575" s="625">
        <v>10.0</v>
      </c>
      <c r="AC575" s="625">
        <v>38.0</v>
      </c>
      <c r="AD575" s="625">
        <v>12.0</v>
      </c>
      <c r="AE575" s="625">
        <v>50.0</v>
      </c>
      <c r="AF575" s="625">
        <v>65.0</v>
      </c>
      <c r="AG575" s="625">
        <v>34.0</v>
      </c>
      <c r="AH575" s="529">
        <f t="shared" si="91"/>
        <v>236</v>
      </c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</row>
    <row r="576">
      <c r="A576" s="12"/>
      <c r="B576" s="631"/>
      <c r="C576" s="28"/>
      <c r="D576" s="28"/>
      <c r="E576" s="12"/>
      <c r="F576" s="12"/>
      <c r="G576" s="609"/>
      <c r="H576" s="12"/>
      <c r="I576" s="609"/>
      <c r="J576" s="618"/>
      <c r="K576" s="619"/>
      <c r="L576" s="12"/>
      <c r="M576" s="12"/>
      <c r="N576" s="12"/>
      <c r="O576" s="12"/>
      <c r="P576" s="12"/>
      <c r="Q576" s="12"/>
      <c r="R576" s="12"/>
      <c r="S576" s="12"/>
      <c r="T576" s="12"/>
      <c r="V576" s="627">
        <f t="shared" ref="V576:AH576" si="92">SUM(V573:V575)*1000000</f>
        <v>0</v>
      </c>
      <c r="W576" s="627">
        <f t="shared" si="92"/>
        <v>13000000</v>
      </c>
      <c r="X576" s="627">
        <f t="shared" si="92"/>
        <v>13000000</v>
      </c>
      <c r="Y576" s="627">
        <f t="shared" si="92"/>
        <v>15000000</v>
      </c>
      <c r="Z576" s="627">
        <f t="shared" si="92"/>
        <v>12000000</v>
      </c>
      <c r="AA576" s="627">
        <f t="shared" si="92"/>
        <v>19000000</v>
      </c>
      <c r="AB576" s="627">
        <f t="shared" si="92"/>
        <v>25000000</v>
      </c>
      <c r="AC576" s="627">
        <f t="shared" si="92"/>
        <v>71000000</v>
      </c>
      <c r="AD576" s="627">
        <f t="shared" si="92"/>
        <v>43000000</v>
      </c>
      <c r="AE576" s="627">
        <f t="shared" si="92"/>
        <v>102000000</v>
      </c>
      <c r="AF576" s="627">
        <f t="shared" si="92"/>
        <v>150000000</v>
      </c>
      <c r="AG576" s="627">
        <f t="shared" si="92"/>
        <v>131000000</v>
      </c>
      <c r="AH576" s="628">
        <f t="shared" si="92"/>
        <v>594000000</v>
      </c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>
      <c r="A577" s="12"/>
      <c r="B577" s="605"/>
      <c r="C577" s="12"/>
      <c r="D577" s="12"/>
      <c r="E577" s="12"/>
      <c r="F577" s="12"/>
      <c r="G577" s="609"/>
      <c r="H577" s="12"/>
      <c r="I577" s="609"/>
      <c r="J577" s="618"/>
      <c r="K577" s="619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</row>
    <row r="578">
      <c r="A578" s="12"/>
      <c r="B578" s="605"/>
      <c r="C578" s="12"/>
      <c r="D578" s="12"/>
      <c r="E578" s="12"/>
      <c r="F578" s="12"/>
      <c r="G578" s="609"/>
      <c r="H578" s="12"/>
      <c r="I578" s="609"/>
      <c r="J578" s="618"/>
      <c r="K578" s="619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</row>
    <row r="579">
      <c r="A579" s="12"/>
      <c r="B579" s="605"/>
      <c r="C579" s="12"/>
      <c r="D579" s="12"/>
      <c r="E579" s="12"/>
      <c r="F579" s="12"/>
      <c r="G579" s="609"/>
      <c r="H579" s="12"/>
      <c r="I579" s="609"/>
      <c r="J579" s="618"/>
      <c r="K579" s="619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</row>
    <row r="580" hidden="1">
      <c r="A580" s="12"/>
      <c r="B580" s="605"/>
      <c r="C580" s="12"/>
      <c r="D580" s="12"/>
      <c r="E580" s="12"/>
      <c r="F580" s="12"/>
      <c r="G580" s="609"/>
      <c r="H580" s="12"/>
      <c r="I580" s="609"/>
      <c r="J580" s="618"/>
      <c r="K580" s="619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423" t="s">
        <v>797</v>
      </c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</row>
    <row r="581" hidden="1">
      <c r="A581" s="12"/>
      <c r="B581" s="605"/>
      <c r="C581" s="12"/>
      <c r="D581" s="12"/>
      <c r="E581" s="12"/>
      <c r="F581" s="12"/>
      <c r="G581" s="609"/>
      <c r="H581" s="12"/>
      <c r="I581" s="609"/>
      <c r="J581" s="618"/>
      <c r="K581" s="619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632" t="s">
        <v>798</v>
      </c>
      <c r="X581" s="633"/>
      <c r="Y581" s="40" t="s">
        <v>48</v>
      </c>
      <c r="Z581" s="40" t="s">
        <v>49</v>
      </c>
      <c r="AA581" s="40" t="s">
        <v>50</v>
      </c>
      <c r="AB581" s="40" t="s">
        <v>41</v>
      </c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</row>
    <row r="582" hidden="1">
      <c r="A582" s="12"/>
      <c r="B582" s="605"/>
      <c r="C582" s="12"/>
      <c r="D582" s="12"/>
      <c r="E582" s="12"/>
      <c r="F582" s="12"/>
      <c r="G582" s="609"/>
      <c r="H582" s="12"/>
      <c r="I582" s="609"/>
      <c r="J582" s="618"/>
      <c r="K582" s="619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634" t="s">
        <v>19</v>
      </c>
      <c r="X582" s="247"/>
      <c r="Y582" s="635">
        <f>G27+G31+G33</f>
        <v>0</v>
      </c>
      <c r="Z582" s="636" t="str">
        <f>#REF!+G101+G67+G37+G39+G47+G49+G51+G143+G111+G55+G65+G69+G218+G71+#REF!+G73+G75+G79+G83+G85+G89+G91+G93</f>
        <v>#REF!</v>
      </c>
      <c r="AA582" s="636">
        <f>G103+G115+G119+G121+G123+G125+G230+G145+G254+G149+G151+G153+G155+G157+G159+G163+G165+G167</f>
        <v>180</v>
      </c>
      <c r="AB582" s="637" t="str">
        <f t="shared" ref="AB582:AB584" si="93">SUM(Y582:AA582)</f>
        <v>#REF!</v>
      </c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</row>
    <row r="583" hidden="1">
      <c r="A583" s="12"/>
      <c r="B583" s="605"/>
      <c r="C583" s="12"/>
      <c r="D583" s="12"/>
      <c r="E583" s="12"/>
      <c r="F583" s="12"/>
      <c r="G583" s="609"/>
      <c r="H583" s="12"/>
      <c r="I583" s="609"/>
      <c r="J583" s="618"/>
      <c r="K583" s="619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634" t="s">
        <v>799</v>
      </c>
      <c r="X583" s="247"/>
      <c r="Y583" s="635">
        <f>G284+G286</f>
        <v>0</v>
      </c>
      <c r="Z583" s="636" t="str">
        <f>G292+G351+G365+G288+G326+G298+G374+#REF!+G340</f>
        <v>#REF!</v>
      </c>
      <c r="AA583" s="638">
        <f>G372+G304+G306+G368+G312+G314+G318+G320+G322+G324+G342</f>
        <v>15</v>
      </c>
      <c r="AB583" s="637" t="str">
        <f t="shared" si="93"/>
        <v>#REF!</v>
      </c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</row>
    <row r="584" hidden="1">
      <c r="A584" s="12"/>
      <c r="B584" s="605"/>
      <c r="C584" s="12"/>
      <c r="D584" s="12"/>
      <c r="E584" s="12"/>
      <c r="F584" s="12"/>
      <c r="G584" s="609"/>
      <c r="H584" s="12"/>
      <c r="I584" s="609"/>
      <c r="J584" s="618"/>
      <c r="K584" s="619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634" t="s">
        <v>800</v>
      </c>
      <c r="X584" s="247"/>
      <c r="Y584" s="635">
        <f>G440+G410+G412+G414+G436+G420+G542+G428</f>
        <v>50</v>
      </c>
      <c r="Z584" s="636" t="str">
        <f>G430+G434+G422+G460+G540+G538+#REF!+G424+G416+G552+G536+G544+G464+G546+G452+G466+#REF!+G522+G442</f>
        <v>#REF!</v>
      </c>
      <c r="AA584" s="638">
        <f>G511+G468+G526+G472+G474+G478+G528+G482+G484+G486+G488+G490+G492+G515+G458+G494+G496+G498</f>
        <v>160</v>
      </c>
      <c r="AB584" s="637" t="str">
        <f t="shared" si="93"/>
        <v>#REF!</v>
      </c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</row>
    <row r="585" hidden="1">
      <c r="A585" s="12"/>
      <c r="B585" s="605"/>
      <c r="C585" s="12"/>
      <c r="D585" s="12"/>
      <c r="E585" s="12"/>
      <c r="F585" s="12"/>
      <c r="G585" s="609"/>
      <c r="H585" s="12"/>
      <c r="I585" s="609"/>
      <c r="J585" s="618"/>
      <c r="K585" s="619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597" t="str">
        <f>SUM(AB582:AB584)</f>
        <v>#REF!</v>
      </c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</row>
    <row r="586" hidden="1">
      <c r="A586" s="12"/>
      <c r="B586" s="605"/>
      <c r="C586" s="12"/>
      <c r="D586" s="12"/>
      <c r="E586" s="12"/>
      <c r="F586" s="12"/>
      <c r="G586" s="609"/>
      <c r="H586" s="12"/>
      <c r="I586" s="609"/>
      <c r="J586" s="618"/>
      <c r="K586" s="619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423" t="s">
        <v>801</v>
      </c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</row>
    <row r="587" hidden="1">
      <c r="A587" s="12"/>
      <c r="B587" s="605"/>
      <c r="C587" s="12"/>
      <c r="D587" s="12"/>
      <c r="E587" s="12"/>
      <c r="F587" s="12"/>
      <c r="G587" s="609"/>
      <c r="H587" s="12"/>
      <c r="I587" s="609"/>
      <c r="J587" s="618"/>
      <c r="K587" s="619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632" t="s">
        <v>798</v>
      </c>
      <c r="X587" s="633"/>
      <c r="Y587" s="40" t="s">
        <v>48</v>
      </c>
      <c r="Z587" s="40" t="s">
        <v>49</v>
      </c>
      <c r="AA587" s="40" t="s">
        <v>50</v>
      </c>
      <c r="AB587" s="40" t="s">
        <v>41</v>
      </c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</row>
    <row r="588" hidden="1">
      <c r="A588" s="12"/>
      <c r="B588" s="605"/>
      <c r="C588" s="12"/>
      <c r="D588" s="12"/>
      <c r="E588" s="12"/>
      <c r="F588" s="12"/>
      <c r="G588" s="609"/>
      <c r="H588" s="12"/>
      <c r="I588" s="609"/>
      <c r="J588" s="618"/>
      <c r="K588" s="619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634" t="s">
        <v>19</v>
      </c>
      <c r="X588" s="247"/>
      <c r="Y588" s="635">
        <f>I27+I31+I33</f>
        <v>0</v>
      </c>
      <c r="Z588" s="636" t="str">
        <f>#REF!+I101+I67+I37+I39+I47+I49+I51+I143+I111+I55+I65+I69+I218+I71+#REF!+I73+I75+I79+I83+I85+I89+I91+I93</f>
        <v>#REF!</v>
      </c>
      <c r="AA588" s="636">
        <f>I103+I115+I119+I121+I123+I125+I230+I145+I254+I149+I151+I153+I155+I157+I159+I163+I165+I167</f>
        <v>66</v>
      </c>
      <c r="AB588" s="637" t="str">
        <f t="shared" ref="AB588:AB590" si="94">SUM(Y588:AA588)</f>
        <v>#REF!</v>
      </c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</row>
    <row r="589" hidden="1">
      <c r="A589" s="12"/>
      <c r="B589" s="605"/>
      <c r="C589" s="12"/>
      <c r="D589" s="12"/>
      <c r="E589" s="12"/>
      <c r="F589" s="12"/>
      <c r="G589" s="609"/>
      <c r="H589" s="12"/>
      <c r="I589" s="609"/>
      <c r="J589" s="618"/>
      <c r="K589" s="619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634" t="s">
        <v>799</v>
      </c>
      <c r="X589" s="247"/>
      <c r="Y589" s="635">
        <f>I284+I286</f>
        <v>0</v>
      </c>
      <c r="Z589" s="636" t="str">
        <f>I292+I351+I365+I288+I326+I298+I374+#REF!+I340</f>
        <v>#REF!</v>
      </c>
      <c r="AA589" s="638">
        <f>I372+I304+I306+I368+I312+I314+I318+I320+I322+I324+I342</f>
        <v>7.5</v>
      </c>
      <c r="AB589" s="637" t="str">
        <f t="shared" si="94"/>
        <v>#REF!</v>
      </c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</row>
    <row r="590" hidden="1">
      <c r="A590" s="12"/>
      <c r="B590" s="605"/>
      <c r="C590" s="12"/>
      <c r="D590" s="12"/>
      <c r="E590" s="12"/>
      <c r="F590" s="12"/>
      <c r="G590" s="609"/>
      <c r="H590" s="12"/>
      <c r="I590" s="609"/>
      <c r="J590" s="618"/>
      <c r="K590" s="619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634" t="s">
        <v>800</v>
      </c>
      <c r="X590" s="247"/>
      <c r="Y590" s="636">
        <f>I440+I410+I412+I414+I436+I420+I542+I428</f>
        <v>35</v>
      </c>
      <c r="Z590" s="636" t="str">
        <f>I430+I434+I422+I460+I540+I538+#REF!+I424+I416+I552+I536+I544+I464+I546+I452+I466+#REF!+I522+I442</f>
        <v>#REF!</v>
      </c>
      <c r="AA590" s="638">
        <f>I511+I468+I526+I472+I474+I478+I528+I482+I484+I486+I488+I490+I492+I515+I458+I494+I496+I498</f>
        <v>27.6</v>
      </c>
      <c r="AB590" s="637" t="str">
        <f t="shared" si="94"/>
        <v>#REF!</v>
      </c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</row>
    <row r="591" hidden="1">
      <c r="A591" s="12"/>
      <c r="B591" s="605"/>
      <c r="C591" s="12"/>
      <c r="D591" s="12"/>
      <c r="E591" s="12"/>
      <c r="F591" s="12"/>
      <c r="G591" s="609"/>
      <c r="H591" s="12"/>
      <c r="I591" s="609"/>
      <c r="J591" s="618"/>
      <c r="K591" s="619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597" t="str">
        <f>SUM(AB588:AB590)</f>
        <v>#REF!</v>
      </c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</row>
    <row r="592">
      <c r="A592" s="12"/>
      <c r="B592" s="605"/>
      <c r="C592" s="12"/>
      <c r="D592" s="12"/>
      <c r="E592" s="12"/>
      <c r="F592" s="12"/>
      <c r="G592" s="609"/>
      <c r="H592" s="12"/>
      <c r="I592" s="609"/>
      <c r="J592" s="618"/>
      <c r="K592" s="619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</row>
    <row r="593">
      <c r="A593" s="12"/>
      <c r="B593" s="605"/>
      <c r="C593" s="12"/>
      <c r="D593" s="12"/>
      <c r="E593" s="12"/>
      <c r="F593" s="12"/>
      <c r="G593" s="609"/>
      <c r="H593" s="12"/>
      <c r="I593" s="609"/>
      <c r="J593" s="618"/>
      <c r="K593" s="619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</row>
    <row r="594">
      <c r="A594" s="12"/>
      <c r="B594" s="605"/>
      <c r="C594" s="12"/>
      <c r="D594" s="12"/>
      <c r="E594" s="12"/>
      <c r="F594" s="12"/>
      <c r="G594" s="609"/>
      <c r="H594" s="12"/>
      <c r="I594" s="609"/>
      <c r="J594" s="618"/>
      <c r="K594" s="619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>
      <c r="A595" s="12"/>
      <c r="B595" s="605"/>
      <c r="C595" s="12"/>
      <c r="D595" s="12"/>
      <c r="E595" s="12"/>
      <c r="F595" s="12"/>
      <c r="G595" s="609"/>
      <c r="H595" s="12"/>
      <c r="I595" s="609"/>
      <c r="J595" s="618"/>
      <c r="K595" s="619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</row>
    <row r="596">
      <c r="A596" s="12"/>
      <c r="B596" s="605"/>
      <c r="C596" s="12"/>
      <c r="D596" s="12"/>
      <c r="E596" s="12"/>
      <c r="F596" s="12"/>
      <c r="G596" s="609"/>
      <c r="H596" s="12"/>
      <c r="I596" s="609"/>
      <c r="J596" s="618"/>
      <c r="K596" s="619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</row>
    <row r="597">
      <c r="A597" s="12"/>
      <c r="B597" s="605"/>
      <c r="C597" s="12"/>
      <c r="D597" s="12"/>
      <c r="E597" s="12"/>
      <c r="F597" s="12"/>
      <c r="G597" s="609"/>
      <c r="H597" s="12"/>
      <c r="I597" s="609"/>
      <c r="J597" s="618"/>
      <c r="K597" s="619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</row>
    <row r="598">
      <c r="A598" s="12"/>
      <c r="B598" s="605"/>
      <c r="C598" s="12"/>
      <c r="D598" s="12"/>
      <c r="E598" s="12"/>
      <c r="F598" s="12"/>
      <c r="G598" s="609"/>
      <c r="H598" s="12"/>
      <c r="I598" s="609"/>
      <c r="J598" s="618"/>
      <c r="K598" s="619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</row>
    <row r="599">
      <c r="A599" s="12"/>
      <c r="B599" s="605"/>
      <c r="C599" s="12"/>
      <c r="D599" s="12"/>
      <c r="E599" s="12"/>
      <c r="F599" s="12"/>
      <c r="G599" s="609"/>
      <c r="H599" s="12"/>
      <c r="I599" s="609"/>
      <c r="J599" s="618"/>
      <c r="K599" s="619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</row>
    <row r="600">
      <c r="A600" s="12"/>
      <c r="B600" s="605"/>
      <c r="C600" s="12"/>
      <c r="D600" s="12"/>
      <c r="E600" s="12"/>
      <c r="F600" s="12"/>
      <c r="G600" s="609"/>
      <c r="H600" s="12"/>
      <c r="I600" s="609"/>
      <c r="J600" s="618"/>
      <c r="K600" s="619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</row>
    <row r="601">
      <c r="A601" s="12"/>
      <c r="B601" s="605"/>
      <c r="C601" s="12"/>
      <c r="D601" s="12"/>
      <c r="E601" s="12"/>
      <c r="F601" s="12"/>
      <c r="G601" s="609"/>
      <c r="H601" s="12"/>
      <c r="I601" s="609"/>
      <c r="J601" s="618"/>
      <c r="K601" s="619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</row>
    <row r="602">
      <c r="A602" s="12"/>
      <c r="B602" s="605"/>
      <c r="C602" s="12"/>
      <c r="D602" s="12"/>
      <c r="E602" s="12"/>
      <c r="F602" s="12"/>
      <c r="G602" s="609"/>
      <c r="H602" s="12"/>
      <c r="I602" s="609"/>
      <c r="J602" s="618"/>
      <c r="K602" s="619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</row>
    <row r="603">
      <c r="A603" s="12"/>
      <c r="B603" s="605"/>
      <c r="C603" s="12"/>
      <c r="D603" s="12"/>
      <c r="E603" s="12"/>
      <c r="F603" s="12"/>
      <c r="G603" s="609"/>
      <c r="H603" s="12"/>
      <c r="I603" s="609"/>
      <c r="J603" s="618"/>
      <c r="K603" s="619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</row>
    <row r="604">
      <c r="A604" s="12"/>
      <c r="B604" s="605"/>
      <c r="C604" s="12"/>
      <c r="D604" s="12"/>
      <c r="E604" s="12"/>
      <c r="F604" s="12"/>
      <c r="G604" s="609"/>
      <c r="H604" s="12"/>
      <c r="I604" s="609"/>
      <c r="J604" s="618"/>
      <c r="K604" s="619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</row>
    <row r="605">
      <c r="A605" s="12"/>
      <c r="B605" s="605"/>
      <c r="C605" s="12"/>
      <c r="D605" s="12"/>
      <c r="E605" s="12"/>
      <c r="F605" s="12"/>
      <c r="G605" s="609"/>
      <c r="H605" s="12"/>
      <c r="I605" s="609"/>
      <c r="J605" s="618"/>
      <c r="K605" s="619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</row>
    <row r="606">
      <c r="A606" s="12"/>
      <c r="B606" s="605"/>
      <c r="C606" s="12"/>
      <c r="D606" s="12"/>
      <c r="E606" s="12"/>
      <c r="F606" s="12"/>
      <c r="G606" s="609"/>
      <c r="H606" s="12"/>
      <c r="I606" s="609"/>
      <c r="J606" s="618"/>
      <c r="K606" s="619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</row>
    <row r="607">
      <c r="A607" s="12"/>
      <c r="B607" s="605"/>
      <c r="C607" s="12"/>
      <c r="D607" s="12"/>
      <c r="E607" s="12"/>
      <c r="F607" s="12"/>
      <c r="G607" s="609"/>
      <c r="H607" s="12"/>
      <c r="I607" s="609"/>
      <c r="J607" s="618"/>
      <c r="K607" s="619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</row>
    <row r="608">
      <c r="A608" s="12"/>
      <c r="B608" s="605"/>
      <c r="C608" s="12"/>
      <c r="D608" s="12"/>
      <c r="E608" s="12"/>
      <c r="F608" s="12"/>
      <c r="G608" s="609"/>
      <c r="H608" s="12"/>
      <c r="I608" s="609"/>
      <c r="J608" s="618"/>
      <c r="K608" s="619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</row>
    <row r="609">
      <c r="A609" s="12"/>
      <c r="B609" s="605"/>
      <c r="C609" s="12"/>
      <c r="D609" s="12"/>
      <c r="E609" s="12"/>
      <c r="F609" s="12"/>
      <c r="G609" s="609"/>
      <c r="H609" s="12"/>
      <c r="I609" s="609"/>
      <c r="J609" s="618"/>
      <c r="K609" s="619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</row>
    <row r="610">
      <c r="A610" s="12"/>
      <c r="B610" s="605"/>
      <c r="C610" s="12"/>
      <c r="D610" s="12"/>
      <c r="E610" s="12"/>
      <c r="F610" s="12"/>
      <c r="G610" s="609"/>
      <c r="H610" s="12"/>
      <c r="I610" s="609"/>
      <c r="J610" s="618"/>
      <c r="K610" s="619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</row>
    <row r="611">
      <c r="A611" s="12"/>
      <c r="B611" s="605"/>
      <c r="C611" s="12"/>
      <c r="D611" s="12"/>
      <c r="E611" s="12"/>
      <c r="F611" s="12"/>
      <c r="G611" s="609"/>
      <c r="H611" s="12"/>
      <c r="I611" s="609"/>
      <c r="J611" s="618"/>
      <c r="K611" s="619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</row>
    <row r="612">
      <c r="A612" s="12"/>
      <c r="B612" s="605"/>
      <c r="C612" s="12"/>
      <c r="D612" s="12"/>
      <c r="E612" s="12"/>
      <c r="F612" s="12"/>
      <c r="G612" s="609"/>
      <c r="H612" s="12"/>
      <c r="I612" s="609"/>
      <c r="J612" s="618"/>
      <c r="K612" s="619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>
      <c r="A613" s="12"/>
      <c r="B613" s="605"/>
      <c r="C613" s="12"/>
      <c r="D613" s="12"/>
      <c r="E613" s="12"/>
      <c r="F613" s="12"/>
      <c r="G613" s="609"/>
      <c r="H613" s="12"/>
      <c r="I613" s="609"/>
      <c r="J613" s="618"/>
      <c r="K613" s="619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</row>
    <row r="614">
      <c r="A614" s="12"/>
      <c r="B614" s="605"/>
      <c r="C614" s="12"/>
      <c r="D614" s="12"/>
      <c r="E614" s="12"/>
      <c r="F614" s="12"/>
      <c r="G614" s="609"/>
      <c r="H614" s="12"/>
      <c r="I614" s="609"/>
      <c r="J614" s="618"/>
      <c r="K614" s="619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</row>
    <row r="615">
      <c r="A615" s="12"/>
      <c r="B615" s="605"/>
      <c r="C615" s="12"/>
      <c r="D615" s="12"/>
      <c r="E615" s="12"/>
      <c r="F615" s="12"/>
      <c r="G615" s="609"/>
      <c r="H615" s="12"/>
      <c r="I615" s="609"/>
      <c r="J615" s="618"/>
      <c r="K615" s="619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</row>
    <row r="616">
      <c r="A616" s="12"/>
      <c r="B616" s="605"/>
      <c r="C616" s="12"/>
      <c r="D616" s="12"/>
      <c r="E616" s="12"/>
      <c r="F616" s="12"/>
      <c r="G616" s="609"/>
      <c r="H616" s="12"/>
      <c r="I616" s="609"/>
      <c r="J616" s="618"/>
      <c r="K616" s="619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</row>
    <row r="617">
      <c r="A617" s="12"/>
      <c r="B617" s="605"/>
      <c r="C617" s="12"/>
      <c r="D617" s="12"/>
      <c r="E617" s="12"/>
      <c r="F617" s="12"/>
      <c r="G617" s="609"/>
      <c r="H617" s="12"/>
      <c r="I617" s="609"/>
      <c r="J617" s="618"/>
      <c r="K617" s="619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</row>
    <row r="618">
      <c r="A618" s="12"/>
      <c r="B618" s="605"/>
      <c r="C618" s="12"/>
      <c r="D618" s="12"/>
      <c r="E618" s="12"/>
      <c r="F618" s="12"/>
      <c r="G618" s="609"/>
      <c r="H618" s="12"/>
      <c r="I618" s="609"/>
      <c r="J618" s="618"/>
      <c r="K618" s="619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</row>
    <row r="619">
      <c r="A619" s="12"/>
      <c r="B619" s="605"/>
      <c r="C619" s="12"/>
      <c r="D619" s="12"/>
      <c r="E619" s="12"/>
      <c r="F619" s="12"/>
      <c r="G619" s="609"/>
      <c r="H619" s="12"/>
      <c r="I619" s="609"/>
      <c r="J619" s="618"/>
      <c r="K619" s="619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</row>
    <row r="620">
      <c r="A620" s="12"/>
      <c r="B620" s="605"/>
      <c r="C620" s="12"/>
      <c r="D620" s="12"/>
      <c r="E620" s="12"/>
      <c r="F620" s="12"/>
      <c r="G620" s="609"/>
      <c r="H620" s="12"/>
      <c r="I620" s="609"/>
      <c r="J620" s="618"/>
      <c r="K620" s="619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</row>
    <row r="621">
      <c r="A621" s="12"/>
      <c r="B621" s="605"/>
      <c r="C621" s="12"/>
      <c r="D621" s="12"/>
      <c r="E621" s="12"/>
      <c r="F621" s="12"/>
      <c r="G621" s="609"/>
      <c r="H621" s="12"/>
      <c r="I621" s="609"/>
      <c r="J621" s="618"/>
      <c r="K621" s="619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</row>
    <row r="622">
      <c r="A622" s="12"/>
      <c r="B622" s="605"/>
      <c r="C622" s="12"/>
      <c r="D622" s="12"/>
      <c r="E622" s="12"/>
      <c r="F622" s="12"/>
      <c r="G622" s="609"/>
      <c r="H622" s="12"/>
      <c r="I622" s="609"/>
      <c r="J622" s="618"/>
      <c r="K622" s="619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</row>
    <row r="623">
      <c r="A623" s="12"/>
      <c r="B623" s="605"/>
      <c r="C623" s="12"/>
      <c r="D623" s="12"/>
      <c r="E623" s="12"/>
      <c r="F623" s="12"/>
      <c r="G623" s="609"/>
      <c r="H623" s="12"/>
      <c r="I623" s="609"/>
      <c r="J623" s="618"/>
      <c r="K623" s="619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</row>
    <row r="624">
      <c r="A624" s="12"/>
      <c r="B624" s="605"/>
      <c r="C624" s="12"/>
      <c r="D624" s="12"/>
      <c r="E624" s="12"/>
      <c r="F624" s="12"/>
      <c r="G624" s="609"/>
      <c r="H624" s="12"/>
      <c r="I624" s="609"/>
      <c r="J624" s="618"/>
      <c r="K624" s="619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</row>
    <row r="625">
      <c r="A625" s="12"/>
      <c r="B625" s="605"/>
      <c r="C625" s="12"/>
      <c r="D625" s="12"/>
      <c r="E625" s="12"/>
      <c r="F625" s="12"/>
      <c r="G625" s="609"/>
      <c r="H625" s="12"/>
      <c r="I625" s="609"/>
      <c r="J625" s="618"/>
      <c r="K625" s="619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</row>
    <row r="626">
      <c r="A626" s="12"/>
      <c r="B626" s="605"/>
      <c r="C626" s="12"/>
      <c r="D626" s="12"/>
      <c r="E626" s="12"/>
      <c r="F626" s="12"/>
      <c r="G626" s="609"/>
      <c r="H626" s="12"/>
      <c r="I626" s="609"/>
      <c r="J626" s="618"/>
      <c r="K626" s="619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</row>
    <row r="627">
      <c r="A627" s="12"/>
      <c r="B627" s="605"/>
      <c r="C627" s="12"/>
      <c r="D627" s="12"/>
      <c r="E627" s="12"/>
      <c r="F627" s="12"/>
      <c r="G627" s="609"/>
      <c r="H627" s="12"/>
      <c r="I627" s="609"/>
      <c r="J627" s="618"/>
      <c r="K627" s="619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</row>
    <row r="628">
      <c r="A628" s="12"/>
      <c r="B628" s="605"/>
      <c r="C628" s="12"/>
      <c r="D628" s="12"/>
      <c r="E628" s="12"/>
      <c r="F628" s="12"/>
      <c r="G628" s="609"/>
      <c r="H628" s="12"/>
      <c r="I628" s="609"/>
      <c r="J628" s="618"/>
      <c r="K628" s="619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</row>
    <row r="629">
      <c r="A629" s="12"/>
      <c r="B629" s="605"/>
      <c r="C629" s="12"/>
      <c r="D629" s="12"/>
      <c r="E629" s="12"/>
      <c r="F629" s="12"/>
      <c r="G629" s="609"/>
      <c r="H629" s="12"/>
      <c r="I629" s="609"/>
      <c r="J629" s="618"/>
      <c r="K629" s="619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</row>
    <row r="630">
      <c r="A630" s="12"/>
      <c r="B630" s="605"/>
      <c r="C630" s="12"/>
      <c r="D630" s="12"/>
      <c r="E630" s="12"/>
      <c r="F630" s="12"/>
      <c r="G630" s="609"/>
      <c r="H630" s="12"/>
      <c r="I630" s="609"/>
      <c r="J630" s="618"/>
      <c r="K630" s="619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>
      <c r="A631" s="12"/>
      <c r="B631" s="605"/>
      <c r="C631" s="12"/>
      <c r="D631" s="12"/>
      <c r="E631" s="12"/>
      <c r="F631" s="12"/>
      <c r="G631" s="609"/>
      <c r="H631" s="12"/>
      <c r="I631" s="609"/>
      <c r="J631" s="618"/>
      <c r="K631" s="619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</row>
    <row r="632">
      <c r="A632" s="12"/>
      <c r="B632" s="605"/>
      <c r="C632" s="12"/>
      <c r="D632" s="12"/>
      <c r="E632" s="12"/>
      <c r="F632" s="12"/>
      <c r="G632" s="609"/>
      <c r="H632" s="12"/>
      <c r="I632" s="609"/>
      <c r="J632" s="618"/>
      <c r="K632" s="619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</row>
    <row r="633">
      <c r="A633" s="12"/>
      <c r="B633" s="605"/>
      <c r="C633" s="12"/>
      <c r="D633" s="12"/>
      <c r="E633" s="12"/>
      <c r="F633" s="12"/>
      <c r="G633" s="609"/>
      <c r="H633" s="12"/>
      <c r="I633" s="609"/>
      <c r="J633" s="618"/>
      <c r="K633" s="619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</row>
    <row r="634">
      <c r="A634" s="12"/>
      <c r="B634" s="605"/>
      <c r="C634" s="12"/>
      <c r="D634" s="12"/>
      <c r="E634" s="12"/>
      <c r="F634" s="12"/>
      <c r="G634" s="609"/>
      <c r="H634" s="12"/>
      <c r="I634" s="609"/>
      <c r="J634" s="618"/>
      <c r="K634" s="619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</row>
    <row r="635">
      <c r="A635" s="12"/>
      <c r="B635" s="605"/>
      <c r="C635" s="12"/>
      <c r="D635" s="12"/>
      <c r="E635" s="12"/>
      <c r="F635" s="12"/>
      <c r="G635" s="609"/>
      <c r="H635" s="12"/>
      <c r="I635" s="609"/>
      <c r="J635" s="618"/>
      <c r="K635" s="619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</row>
    <row r="636">
      <c r="A636" s="12"/>
      <c r="B636" s="605"/>
      <c r="C636" s="12"/>
      <c r="D636" s="12"/>
      <c r="E636" s="12"/>
      <c r="F636" s="12"/>
      <c r="G636" s="609"/>
      <c r="H636" s="12"/>
      <c r="I636" s="609"/>
      <c r="J636" s="618"/>
      <c r="K636" s="619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</row>
    <row r="637">
      <c r="A637" s="12"/>
      <c r="B637" s="605"/>
      <c r="C637" s="12"/>
      <c r="D637" s="12"/>
      <c r="E637" s="12"/>
      <c r="F637" s="12"/>
      <c r="G637" s="609"/>
      <c r="H637" s="12"/>
      <c r="I637" s="609"/>
      <c r="J637" s="618"/>
      <c r="K637" s="619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</row>
    <row r="638">
      <c r="A638" s="12"/>
      <c r="B638" s="605"/>
      <c r="C638" s="12"/>
      <c r="D638" s="12"/>
      <c r="E638" s="12"/>
      <c r="F638" s="12"/>
      <c r="G638" s="609"/>
      <c r="H638" s="12"/>
      <c r="I638" s="609"/>
      <c r="J638" s="618"/>
      <c r="K638" s="619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</row>
    <row r="639">
      <c r="A639" s="12"/>
      <c r="B639" s="605"/>
      <c r="C639" s="12"/>
      <c r="D639" s="12"/>
      <c r="E639" s="12"/>
      <c r="F639" s="12"/>
      <c r="G639" s="609"/>
      <c r="H639" s="12"/>
      <c r="I639" s="609"/>
      <c r="J639" s="618"/>
      <c r="K639" s="619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</row>
    <row r="640">
      <c r="A640" s="12"/>
      <c r="B640" s="605"/>
      <c r="C640" s="12"/>
      <c r="D640" s="12"/>
      <c r="E640" s="12"/>
      <c r="F640" s="12"/>
      <c r="G640" s="609"/>
      <c r="H640" s="12"/>
      <c r="I640" s="609"/>
      <c r="J640" s="618"/>
      <c r="K640" s="619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</row>
    <row r="641">
      <c r="A641" s="12"/>
      <c r="B641" s="605"/>
      <c r="C641" s="12"/>
      <c r="D641" s="12"/>
      <c r="E641" s="12"/>
      <c r="F641" s="12"/>
      <c r="G641" s="609"/>
      <c r="H641" s="12"/>
      <c r="I641" s="609"/>
      <c r="J641" s="618"/>
      <c r="K641" s="619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</row>
    <row r="642">
      <c r="A642" s="12"/>
      <c r="B642" s="605"/>
      <c r="C642" s="12"/>
      <c r="D642" s="12"/>
      <c r="E642" s="12"/>
      <c r="F642" s="12"/>
      <c r="G642" s="609"/>
      <c r="H642" s="12"/>
      <c r="I642" s="609"/>
      <c r="J642" s="618"/>
      <c r="K642" s="619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</row>
    <row r="643">
      <c r="A643" s="12"/>
      <c r="B643" s="605"/>
      <c r="C643" s="12"/>
      <c r="D643" s="12"/>
      <c r="E643" s="12"/>
      <c r="F643" s="12"/>
      <c r="G643" s="609"/>
      <c r="H643" s="12"/>
      <c r="I643" s="609"/>
      <c r="J643" s="618"/>
      <c r="K643" s="619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</row>
    <row r="644">
      <c r="A644" s="12"/>
      <c r="B644" s="605"/>
      <c r="C644" s="12"/>
      <c r="D644" s="12"/>
      <c r="E644" s="12"/>
      <c r="F644" s="12"/>
      <c r="G644" s="609"/>
      <c r="H644" s="12"/>
      <c r="I644" s="609"/>
      <c r="J644" s="618"/>
      <c r="K644" s="619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</row>
    <row r="645">
      <c r="A645" s="12"/>
      <c r="B645" s="605"/>
      <c r="C645" s="12"/>
      <c r="D645" s="12"/>
      <c r="E645" s="12"/>
      <c r="F645" s="12"/>
      <c r="G645" s="609"/>
      <c r="H645" s="12"/>
      <c r="I645" s="609"/>
      <c r="J645" s="618"/>
      <c r="K645" s="619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</row>
    <row r="646">
      <c r="A646" s="12"/>
      <c r="B646" s="605"/>
      <c r="C646" s="12"/>
      <c r="D646" s="12"/>
      <c r="E646" s="12"/>
      <c r="F646" s="12"/>
      <c r="G646" s="609"/>
      <c r="H646" s="12"/>
      <c r="I646" s="609"/>
      <c r="J646" s="618"/>
      <c r="K646" s="619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</row>
    <row r="647">
      <c r="A647" s="12"/>
      <c r="B647" s="605"/>
      <c r="C647" s="12"/>
      <c r="D647" s="12"/>
      <c r="E647" s="12"/>
      <c r="F647" s="12"/>
      <c r="G647" s="609"/>
      <c r="H647" s="12"/>
      <c r="I647" s="609"/>
      <c r="J647" s="618"/>
      <c r="K647" s="619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</row>
    <row r="648">
      <c r="A648" s="12"/>
      <c r="B648" s="605"/>
      <c r="C648" s="12"/>
      <c r="D648" s="12"/>
      <c r="E648" s="12"/>
      <c r="F648" s="12"/>
      <c r="G648" s="609"/>
      <c r="H648" s="12"/>
      <c r="I648" s="609"/>
      <c r="J648" s="618"/>
      <c r="K648" s="619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>
      <c r="A649" s="12"/>
      <c r="B649" s="605"/>
      <c r="C649" s="12"/>
      <c r="D649" s="12"/>
      <c r="E649" s="12"/>
      <c r="F649" s="12"/>
      <c r="G649" s="609"/>
      <c r="H649" s="12"/>
      <c r="I649" s="609"/>
      <c r="J649" s="618"/>
      <c r="K649" s="619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</row>
    <row r="650">
      <c r="A650" s="12"/>
      <c r="B650" s="605"/>
      <c r="C650" s="12"/>
      <c r="D650" s="12"/>
      <c r="E650" s="12"/>
      <c r="F650" s="12"/>
      <c r="G650" s="609"/>
      <c r="H650" s="12"/>
      <c r="I650" s="609"/>
      <c r="J650" s="618"/>
      <c r="K650" s="619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</row>
    <row r="651">
      <c r="A651" s="12"/>
      <c r="B651" s="605"/>
      <c r="C651" s="12"/>
      <c r="D651" s="12"/>
      <c r="E651" s="12"/>
      <c r="F651" s="12"/>
      <c r="G651" s="609"/>
      <c r="H651" s="12"/>
      <c r="I651" s="609"/>
      <c r="J651" s="618"/>
      <c r="K651" s="619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</row>
    <row r="652">
      <c r="A652" s="12"/>
      <c r="B652" s="605"/>
      <c r="C652" s="12"/>
      <c r="D652" s="12"/>
      <c r="E652" s="12"/>
      <c r="F652" s="12"/>
      <c r="G652" s="609"/>
      <c r="H652" s="12"/>
      <c r="I652" s="609"/>
      <c r="J652" s="618"/>
      <c r="K652" s="619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</row>
    <row r="653">
      <c r="A653" s="12"/>
      <c r="B653" s="605"/>
      <c r="C653" s="12"/>
      <c r="D653" s="12"/>
      <c r="E653" s="12"/>
      <c r="F653" s="12"/>
      <c r="G653" s="609"/>
      <c r="H653" s="12"/>
      <c r="I653" s="609"/>
      <c r="J653" s="618"/>
      <c r="K653" s="619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</row>
    <row r="654">
      <c r="A654" s="12"/>
      <c r="B654" s="605"/>
      <c r="C654" s="12"/>
      <c r="D654" s="12"/>
      <c r="E654" s="12"/>
      <c r="F654" s="12"/>
      <c r="G654" s="609"/>
      <c r="H654" s="12"/>
      <c r="I654" s="609"/>
      <c r="J654" s="618"/>
      <c r="K654" s="619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</row>
    <row r="655">
      <c r="A655" s="12"/>
      <c r="B655" s="605"/>
      <c r="C655" s="12"/>
      <c r="D655" s="12"/>
      <c r="E655" s="12"/>
      <c r="F655" s="12"/>
      <c r="G655" s="609"/>
      <c r="H655" s="12"/>
      <c r="I655" s="609"/>
      <c r="J655" s="618"/>
      <c r="K655" s="619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</row>
    <row r="656">
      <c r="A656" s="12"/>
      <c r="B656" s="605"/>
      <c r="C656" s="12"/>
      <c r="D656" s="12"/>
      <c r="E656" s="12"/>
      <c r="F656" s="12"/>
      <c r="G656" s="609"/>
      <c r="H656" s="12"/>
      <c r="I656" s="609"/>
      <c r="J656" s="618"/>
      <c r="K656" s="619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</row>
    <row r="657">
      <c r="A657" s="12"/>
      <c r="B657" s="605"/>
      <c r="C657" s="12"/>
      <c r="D657" s="12"/>
      <c r="E657" s="12"/>
      <c r="F657" s="12"/>
      <c r="G657" s="609"/>
      <c r="H657" s="12"/>
      <c r="I657" s="609"/>
      <c r="J657" s="618"/>
      <c r="K657" s="619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</row>
    <row r="658">
      <c r="A658" s="12"/>
      <c r="B658" s="605"/>
      <c r="C658" s="12"/>
      <c r="D658" s="12"/>
      <c r="E658" s="12"/>
      <c r="F658" s="12"/>
      <c r="G658" s="609"/>
      <c r="H658" s="12"/>
      <c r="I658" s="609"/>
      <c r="J658" s="618"/>
      <c r="K658" s="619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</row>
    <row r="659">
      <c r="A659" s="12"/>
      <c r="B659" s="605"/>
      <c r="C659" s="12"/>
      <c r="D659" s="12"/>
      <c r="E659" s="12"/>
      <c r="F659" s="12"/>
      <c r="G659" s="609"/>
      <c r="H659" s="12"/>
      <c r="I659" s="609"/>
      <c r="J659" s="618"/>
      <c r="K659" s="619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</row>
    <row r="660">
      <c r="A660" s="12"/>
      <c r="B660" s="605"/>
      <c r="C660" s="12"/>
      <c r="D660" s="12"/>
      <c r="E660" s="12"/>
      <c r="F660" s="12"/>
      <c r="G660" s="609"/>
      <c r="H660" s="12"/>
      <c r="I660" s="609"/>
      <c r="J660" s="618"/>
      <c r="K660" s="619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</row>
    <row r="661">
      <c r="A661" s="12"/>
      <c r="B661" s="605"/>
      <c r="C661" s="12"/>
      <c r="D661" s="12"/>
      <c r="E661" s="12"/>
      <c r="F661" s="12"/>
      <c r="G661" s="609"/>
      <c r="H661" s="12"/>
      <c r="I661" s="609"/>
      <c r="J661" s="618"/>
      <c r="K661" s="619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</row>
    <row r="662">
      <c r="A662" s="12"/>
      <c r="B662" s="605"/>
      <c r="C662" s="12"/>
      <c r="D662" s="12"/>
      <c r="E662" s="12"/>
      <c r="F662" s="12"/>
      <c r="G662" s="609"/>
      <c r="H662" s="12"/>
      <c r="I662" s="609"/>
      <c r="J662" s="618"/>
      <c r="K662" s="619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</row>
    <row r="663">
      <c r="A663" s="12"/>
      <c r="B663" s="605"/>
      <c r="C663" s="12"/>
      <c r="D663" s="12"/>
      <c r="E663" s="12"/>
      <c r="F663" s="12"/>
      <c r="G663" s="609"/>
      <c r="H663" s="12"/>
      <c r="I663" s="609"/>
      <c r="J663" s="618"/>
      <c r="K663" s="619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</row>
    <row r="664">
      <c r="A664" s="12"/>
      <c r="B664" s="605"/>
      <c r="C664" s="12"/>
      <c r="D664" s="12"/>
      <c r="E664" s="12"/>
      <c r="F664" s="12"/>
      <c r="G664" s="609"/>
      <c r="H664" s="12"/>
      <c r="I664" s="609"/>
      <c r="J664" s="618"/>
      <c r="K664" s="619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</row>
    <row r="665">
      <c r="A665" s="12"/>
      <c r="B665" s="605"/>
      <c r="C665" s="12"/>
      <c r="D665" s="12"/>
      <c r="E665" s="12"/>
      <c r="F665" s="12"/>
      <c r="G665" s="609"/>
      <c r="H665" s="12"/>
      <c r="I665" s="609"/>
      <c r="J665" s="618"/>
      <c r="K665" s="619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</row>
    <row r="666">
      <c r="A666" s="12"/>
      <c r="B666" s="605"/>
      <c r="C666" s="12"/>
      <c r="D666" s="12"/>
      <c r="E666" s="12"/>
      <c r="F666" s="12"/>
      <c r="G666" s="609"/>
      <c r="H666" s="12"/>
      <c r="I666" s="609"/>
      <c r="J666" s="618"/>
      <c r="K666" s="619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>
      <c r="A667" s="12"/>
      <c r="B667" s="605"/>
      <c r="C667" s="12"/>
      <c r="D667" s="12"/>
      <c r="E667" s="12"/>
      <c r="F667" s="12"/>
      <c r="G667" s="609"/>
      <c r="H667" s="12"/>
      <c r="I667" s="609"/>
      <c r="J667" s="618"/>
      <c r="K667" s="619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</row>
    <row r="668">
      <c r="A668" s="12"/>
      <c r="B668" s="605"/>
      <c r="C668" s="12"/>
      <c r="D668" s="12"/>
      <c r="E668" s="12"/>
      <c r="F668" s="12"/>
      <c r="G668" s="609"/>
      <c r="H668" s="12"/>
      <c r="I668" s="609"/>
      <c r="J668" s="618"/>
      <c r="K668" s="619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</row>
    <row r="669">
      <c r="A669" s="12"/>
      <c r="B669" s="605"/>
      <c r="C669" s="12"/>
      <c r="D669" s="12"/>
      <c r="E669" s="12"/>
      <c r="F669" s="12"/>
      <c r="G669" s="609"/>
      <c r="H669" s="12"/>
      <c r="I669" s="609"/>
      <c r="J669" s="618"/>
      <c r="K669" s="619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</row>
    <row r="670">
      <c r="A670" s="12"/>
      <c r="B670" s="605"/>
      <c r="C670" s="12"/>
      <c r="D670" s="12"/>
      <c r="E670" s="12"/>
      <c r="F670" s="12"/>
      <c r="G670" s="609"/>
      <c r="H670" s="12"/>
      <c r="I670" s="609"/>
      <c r="J670" s="618"/>
      <c r="K670" s="619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</row>
    <row r="671">
      <c r="A671" s="12"/>
      <c r="B671" s="605"/>
      <c r="C671" s="12"/>
      <c r="D671" s="12"/>
      <c r="E671" s="12"/>
      <c r="F671" s="12"/>
      <c r="G671" s="609"/>
      <c r="H671" s="12"/>
      <c r="I671" s="609"/>
      <c r="J671" s="618"/>
      <c r="K671" s="619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</row>
    <row r="672">
      <c r="A672" s="12"/>
      <c r="B672" s="605"/>
      <c r="C672" s="12"/>
      <c r="D672" s="12"/>
      <c r="E672" s="12"/>
      <c r="F672" s="12"/>
      <c r="G672" s="609"/>
      <c r="H672" s="12"/>
      <c r="I672" s="609"/>
      <c r="J672" s="618"/>
      <c r="K672" s="619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</row>
    <row r="673">
      <c r="A673" s="12"/>
      <c r="B673" s="605"/>
      <c r="C673" s="12"/>
      <c r="D673" s="12"/>
      <c r="E673" s="12"/>
      <c r="F673" s="12"/>
      <c r="G673" s="609"/>
      <c r="H673" s="12"/>
      <c r="I673" s="609"/>
      <c r="J673" s="618"/>
      <c r="K673" s="619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</row>
    <row r="674">
      <c r="A674" s="12"/>
      <c r="B674" s="605"/>
      <c r="C674" s="12"/>
      <c r="D674" s="12"/>
      <c r="E674" s="12"/>
      <c r="F674" s="12"/>
      <c r="G674" s="609"/>
      <c r="H674" s="12"/>
      <c r="I674" s="609"/>
      <c r="J674" s="618"/>
      <c r="K674" s="619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</row>
    <row r="675">
      <c r="A675" s="12"/>
      <c r="B675" s="605"/>
      <c r="C675" s="12"/>
      <c r="D675" s="12"/>
      <c r="E675" s="12"/>
      <c r="F675" s="12"/>
      <c r="G675" s="609"/>
      <c r="H675" s="12"/>
      <c r="I675" s="609"/>
      <c r="J675" s="618"/>
      <c r="K675" s="619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</row>
    <row r="676">
      <c r="A676" s="12"/>
      <c r="B676" s="605"/>
      <c r="C676" s="12"/>
      <c r="D676" s="12"/>
      <c r="E676" s="12"/>
      <c r="F676" s="12"/>
      <c r="G676" s="609"/>
      <c r="H676" s="12"/>
      <c r="I676" s="609"/>
      <c r="J676" s="618"/>
      <c r="K676" s="619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</row>
    <row r="677">
      <c r="A677" s="12"/>
      <c r="B677" s="605"/>
      <c r="C677" s="12"/>
      <c r="D677" s="12"/>
      <c r="E677" s="12"/>
      <c r="F677" s="12"/>
      <c r="G677" s="609"/>
      <c r="H677" s="12"/>
      <c r="I677" s="609"/>
      <c r="J677" s="618"/>
      <c r="K677" s="619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</row>
    <row r="678">
      <c r="A678" s="12"/>
      <c r="B678" s="605"/>
      <c r="C678" s="12"/>
      <c r="D678" s="12"/>
      <c r="E678" s="12"/>
      <c r="F678" s="12"/>
      <c r="G678" s="609"/>
      <c r="H678" s="12"/>
      <c r="I678" s="609"/>
      <c r="J678" s="618"/>
      <c r="K678" s="619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</row>
    <row r="679">
      <c r="A679" s="12"/>
      <c r="B679" s="605"/>
      <c r="C679" s="12"/>
      <c r="D679" s="12"/>
      <c r="E679" s="12"/>
      <c r="F679" s="12"/>
      <c r="G679" s="609"/>
      <c r="H679" s="12"/>
      <c r="I679" s="609"/>
      <c r="J679" s="618"/>
      <c r="K679" s="619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</row>
    <row r="680">
      <c r="A680" s="12"/>
      <c r="B680" s="605"/>
      <c r="C680" s="12"/>
      <c r="D680" s="12"/>
      <c r="E680" s="12"/>
      <c r="F680" s="12"/>
      <c r="G680" s="609"/>
      <c r="H680" s="12"/>
      <c r="I680" s="609"/>
      <c r="J680" s="618"/>
      <c r="K680" s="619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</row>
    <row r="681">
      <c r="A681" s="12"/>
      <c r="B681" s="605"/>
      <c r="C681" s="12"/>
      <c r="D681" s="12"/>
      <c r="E681" s="12"/>
      <c r="F681" s="12"/>
      <c r="G681" s="609"/>
      <c r="H681" s="12"/>
      <c r="I681" s="609"/>
      <c r="J681" s="618"/>
      <c r="K681" s="619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</row>
    <row r="682">
      <c r="A682" s="12"/>
      <c r="B682" s="605"/>
      <c r="C682" s="12"/>
      <c r="D682" s="12"/>
      <c r="E682" s="12"/>
      <c r="F682" s="12"/>
      <c r="G682" s="609"/>
      <c r="H682" s="12"/>
      <c r="I682" s="609"/>
      <c r="J682" s="618"/>
      <c r="K682" s="619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</row>
    <row r="683">
      <c r="A683" s="12"/>
      <c r="B683" s="605"/>
      <c r="C683" s="12"/>
      <c r="D683" s="12"/>
      <c r="E683" s="12"/>
      <c r="F683" s="12"/>
      <c r="G683" s="609"/>
      <c r="H683" s="12"/>
      <c r="I683" s="609"/>
      <c r="J683" s="618"/>
      <c r="K683" s="619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</row>
    <row r="684">
      <c r="A684" s="12"/>
      <c r="B684" s="605"/>
      <c r="C684" s="12"/>
      <c r="D684" s="12"/>
      <c r="E684" s="12"/>
      <c r="F684" s="12"/>
      <c r="G684" s="609"/>
      <c r="H684" s="12"/>
      <c r="I684" s="609"/>
      <c r="J684" s="618"/>
      <c r="K684" s="619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>
      <c r="A685" s="12"/>
      <c r="B685" s="605"/>
      <c r="C685" s="12"/>
      <c r="D685" s="12"/>
      <c r="E685" s="12"/>
      <c r="F685" s="12"/>
      <c r="G685" s="609"/>
      <c r="H685" s="12"/>
      <c r="I685" s="609"/>
      <c r="J685" s="618"/>
      <c r="K685" s="619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</row>
    <row r="686">
      <c r="A686" s="12"/>
      <c r="B686" s="605"/>
      <c r="C686" s="12"/>
      <c r="D686" s="12"/>
      <c r="E686" s="12"/>
      <c r="F686" s="12"/>
      <c r="G686" s="609"/>
      <c r="H686" s="12"/>
      <c r="I686" s="609"/>
      <c r="J686" s="618"/>
      <c r="K686" s="619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</row>
    <row r="687">
      <c r="A687" s="12"/>
      <c r="B687" s="605"/>
      <c r="C687" s="12"/>
      <c r="D687" s="12"/>
      <c r="E687" s="12"/>
      <c r="F687" s="12"/>
      <c r="G687" s="609"/>
      <c r="H687" s="12"/>
      <c r="I687" s="609"/>
      <c r="J687" s="618"/>
      <c r="K687" s="619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</row>
    <row r="688">
      <c r="A688" s="12"/>
      <c r="B688" s="605"/>
      <c r="C688" s="12"/>
      <c r="D688" s="12"/>
      <c r="E688" s="12"/>
      <c r="F688" s="12"/>
      <c r="G688" s="609"/>
      <c r="H688" s="12"/>
      <c r="I688" s="609"/>
      <c r="J688" s="618"/>
      <c r="K688" s="619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</row>
    <row r="689">
      <c r="A689" s="12"/>
      <c r="B689" s="605"/>
      <c r="C689" s="12"/>
      <c r="D689" s="12"/>
      <c r="E689" s="12"/>
      <c r="F689" s="12"/>
      <c r="G689" s="609"/>
      <c r="H689" s="12"/>
      <c r="I689" s="609"/>
      <c r="J689" s="618"/>
      <c r="K689" s="619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</row>
    <row r="690">
      <c r="A690" s="12"/>
      <c r="B690" s="605"/>
      <c r="C690" s="12"/>
      <c r="D690" s="12"/>
      <c r="E690" s="12"/>
      <c r="F690" s="12"/>
      <c r="G690" s="609"/>
      <c r="H690" s="12"/>
      <c r="I690" s="609"/>
      <c r="J690" s="618"/>
      <c r="K690" s="619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</row>
    <row r="691">
      <c r="A691" s="12"/>
      <c r="B691" s="605"/>
      <c r="C691" s="12"/>
      <c r="D691" s="12"/>
      <c r="E691" s="12"/>
      <c r="F691" s="12"/>
      <c r="G691" s="609"/>
      <c r="H691" s="12"/>
      <c r="I691" s="609"/>
      <c r="J691" s="618"/>
      <c r="K691" s="619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</row>
    <row r="692">
      <c r="A692" s="12"/>
      <c r="B692" s="605"/>
      <c r="C692" s="12"/>
      <c r="D692" s="12"/>
      <c r="E692" s="12"/>
      <c r="F692" s="12"/>
      <c r="G692" s="609"/>
      <c r="H692" s="12"/>
      <c r="I692" s="609"/>
      <c r="J692" s="618"/>
      <c r="K692" s="619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</row>
    <row r="693">
      <c r="A693" s="12"/>
      <c r="B693" s="605"/>
      <c r="C693" s="12"/>
      <c r="D693" s="12"/>
      <c r="E693" s="12"/>
      <c r="F693" s="12"/>
      <c r="G693" s="609"/>
      <c r="H693" s="12"/>
      <c r="I693" s="609"/>
      <c r="J693" s="618"/>
      <c r="K693" s="619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</row>
    <row r="694">
      <c r="A694" s="12"/>
      <c r="B694" s="605"/>
      <c r="C694" s="12"/>
      <c r="D694" s="12"/>
      <c r="E694" s="12"/>
      <c r="F694" s="12"/>
      <c r="G694" s="609"/>
      <c r="H694" s="12"/>
      <c r="I694" s="609"/>
      <c r="J694" s="618"/>
      <c r="K694" s="619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</row>
    <row r="695">
      <c r="A695" s="12"/>
      <c r="B695" s="605"/>
      <c r="C695" s="12"/>
      <c r="D695" s="12"/>
      <c r="E695" s="12"/>
      <c r="F695" s="12"/>
      <c r="G695" s="609"/>
      <c r="H695" s="12"/>
      <c r="I695" s="609"/>
      <c r="J695" s="618"/>
      <c r="K695" s="619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</row>
    <row r="696">
      <c r="A696" s="12"/>
      <c r="B696" s="605"/>
      <c r="C696" s="12"/>
      <c r="D696" s="12"/>
      <c r="E696" s="12"/>
      <c r="F696" s="12"/>
      <c r="G696" s="609"/>
      <c r="H696" s="12"/>
      <c r="I696" s="609"/>
      <c r="J696" s="618"/>
      <c r="K696" s="619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</row>
    <row r="697">
      <c r="A697" s="12"/>
      <c r="B697" s="605"/>
      <c r="C697" s="12"/>
      <c r="D697" s="12"/>
      <c r="E697" s="12"/>
      <c r="F697" s="12"/>
      <c r="G697" s="609"/>
      <c r="H697" s="12"/>
      <c r="I697" s="609"/>
      <c r="J697" s="618"/>
      <c r="K697" s="619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</row>
    <row r="698">
      <c r="A698" s="12"/>
      <c r="B698" s="605"/>
      <c r="C698" s="12"/>
      <c r="D698" s="12"/>
      <c r="E698" s="12"/>
      <c r="F698" s="12"/>
      <c r="G698" s="609"/>
      <c r="H698" s="12"/>
      <c r="I698" s="609"/>
      <c r="J698" s="618"/>
      <c r="K698" s="619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</row>
    <row r="699">
      <c r="A699" s="12"/>
      <c r="B699" s="605"/>
      <c r="C699" s="12"/>
      <c r="D699" s="12"/>
      <c r="E699" s="12"/>
      <c r="F699" s="12"/>
      <c r="G699" s="609"/>
      <c r="H699" s="12"/>
      <c r="I699" s="609"/>
      <c r="J699" s="618"/>
      <c r="K699" s="619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</row>
    <row r="700">
      <c r="A700" s="12"/>
      <c r="B700" s="605"/>
      <c r="C700" s="12"/>
      <c r="D700" s="12"/>
      <c r="E700" s="12"/>
      <c r="F700" s="12"/>
      <c r="G700" s="609"/>
      <c r="H700" s="12"/>
      <c r="I700" s="609"/>
      <c r="J700" s="618"/>
      <c r="K700" s="619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</row>
    <row r="701">
      <c r="A701" s="12"/>
      <c r="B701" s="605"/>
      <c r="C701" s="12"/>
      <c r="D701" s="12"/>
      <c r="E701" s="12"/>
      <c r="F701" s="12"/>
      <c r="G701" s="609"/>
      <c r="H701" s="12"/>
      <c r="I701" s="609"/>
      <c r="J701" s="618"/>
      <c r="K701" s="619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</row>
    <row r="702">
      <c r="A702" s="12"/>
      <c r="B702" s="605"/>
      <c r="C702" s="12"/>
      <c r="D702" s="12"/>
      <c r="E702" s="12"/>
      <c r="F702" s="12"/>
      <c r="G702" s="609"/>
      <c r="H702" s="12"/>
      <c r="I702" s="609"/>
      <c r="J702" s="618"/>
      <c r="K702" s="619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>
      <c r="A703" s="12"/>
      <c r="B703" s="605"/>
      <c r="C703" s="12"/>
      <c r="D703" s="12"/>
      <c r="E703" s="12"/>
      <c r="F703" s="12"/>
      <c r="G703" s="609"/>
      <c r="H703" s="12"/>
      <c r="I703" s="609"/>
      <c r="J703" s="618"/>
      <c r="K703" s="619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</row>
    <row r="704">
      <c r="A704" s="12"/>
      <c r="B704" s="605"/>
      <c r="C704" s="12"/>
      <c r="D704" s="12"/>
      <c r="E704" s="12"/>
      <c r="F704" s="12"/>
      <c r="G704" s="609"/>
      <c r="H704" s="12"/>
      <c r="I704" s="609"/>
      <c r="J704" s="618"/>
      <c r="K704" s="619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</row>
    <row r="705">
      <c r="A705" s="12"/>
      <c r="B705" s="605"/>
      <c r="C705" s="12"/>
      <c r="D705" s="12"/>
      <c r="E705" s="12"/>
      <c r="F705" s="12"/>
      <c r="G705" s="609"/>
      <c r="H705" s="12"/>
      <c r="I705" s="609"/>
      <c r="J705" s="618"/>
      <c r="K705" s="619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</row>
    <row r="706">
      <c r="A706" s="12"/>
      <c r="B706" s="605"/>
      <c r="C706" s="12"/>
      <c r="D706" s="12"/>
      <c r="E706" s="12"/>
      <c r="F706" s="12"/>
      <c r="G706" s="609"/>
      <c r="H706" s="12"/>
      <c r="I706" s="609"/>
      <c r="J706" s="618"/>
      <c r="K706" s="619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</row>
    <row r="707">
      <c r="A707" s="12"/>
      <c r="B707" s="605"/>
      <c r="C707" s="12"/>
      <c r="D707" s="12"/>
      <c r="E707" s="12"/>
      <c r="F707" s="12"/>
      <c r="G707" s="609"/>
      <c r="H707" s="12"/>
      <c r="I707" s="609"/>
      <c r="J707" s="618"/>
      <c r="K707" s="619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</row>
    <row r="708">
      <c r="A708" s="12"/>
      <c r="B708" s="605"/>
      <c r="C708" s="12"/>
      <c r="D708" s="12"/>
      <c r="E708" s="12"/>
      <c r="F708" s="12"/>
      <c r="G708" s="609"/>
      <c r="H708" s="12"/>
      <c r="I708" s="609"/>
      <c r="J708" s="618"/>
      <c r="K708" s="619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</row>
    <row r="709">
      <c r="A709" s="12"/>
      <c r="B709" s="605"/>
      <c r="C709" s="12"/>
      <c r="D709" s="12"/>
      <c r="E709" s="12"/>
      <c r="F709" s="12"/>
      <c r="G709" s="609"/>
      <c r="H709" s="12"/>
      <c r="I709" s="609"/>
      <c r="J709" s="618"/>
      <c r="K709" s="619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</row>
    <row r="710">
      <c r="A710" s="12"/>
      <c r="B710" s="605"/>
      <c r="C710" s="12"/>
      <c r="D710" s="12"/>
      <c r="E710" s="12"/>
      <c r="F710" s="12"/>
      <c r="G710" s="609"/>
      <c r="H710" s="12"/>
      <c r="I710" s="609"/>
      <c r="J710" s="618"/>
      <c r="K710" s="619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</row>
    <row r="711">
      <c r="A711" s="12"/>
      <c r="B711" s="605"/>
      <c r="C711" s="12"/>
      <c r="D711" s="12"/>
      <c r="E711" s="12"/>
      <c r="F711" s="12"/>
      <c r="G711" s="609"/>
      <c r="H711" s="12"/>
      <c r="I711" s="609"/>
      <c r="J711" s="618"/>
      <c r="K711" s="619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</row>
    <row r="712">
      <c r="A712" s="12"/>
      <c r="B712" s="605"/>
      <c r="C712" s="12"/>
      <c r="D712" s="12"/>
      <c r="E712" s="12"/>
      <c r="F712" s="12"/>
      <c r="G712" s="609"/>
      <c r="H712" s="12"/>
      <c r="I712" s="609"/>
      <c r="J712" s="618"/>
      <c r="K712" s="619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</row>
    <row r="713">
      <c r="A713" s="12"/>
      <c r="B713" s="605"/>
      <c r="C713" s="12"/>
      <c r="D713" s="12"/>
      <c r="E713" s="12"/>
      <c r="F713" s="12"/>
      <c r="G713" s="609"/>
      <c r="H713" s="12"/>
      <c r="I713" s="609"/>
      <c r="J713" s="618"/>
      <c r="K713" s="619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</row>
    <row r="714">
      <c r="A714" s="12"/>
      <c r="B714" s="605"/>
      <c r="C714" s="12"/>
      <c r="D714" s="12"/>
      <c r="E714" s="12"/>
      <c r="F714" s="12"/>
      <c r="G714" s="609"/>
      <c r="H714" s="12"/>
      <c r="I714" s="609"/>
      <c r="J714" s="618"/>
      <c r="K714" s="619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</row>
    <row r="715">
      <c r="A715" s="12"/>
      <c r="B715" s="605"/>
      <c r="C715" s="12"/>
      <c r="D715" s="12"/>
      <c r="E715" s="12"/>
      <c r="F715" s="12"/>
      <c r="G715" s="609"/>
      <c r="H715" s="12"/>
      <c r="I715" s="609"/>
      <c r="J715" s="618"/>
      <c r="K715" s="619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</row>
    <row r="716">
      <c r="A716" s="12"/>
      <c r="B716" s="605"/>
      <c r="C716" s="12"/>
      <c r="D716" s="12"/>
      <c r="E716" s="12"/>
      <c r="F716" s="12"/>
      <c r="G716" s="609"/>
      <c r="H716" s="12"/>
      <c r="I716" s="609"/>
      <c r="J716" s="618"/>
      <c r="K716" s="619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</row>
    <row r="717">
      <c r="A717" s="12"/>
      <c r="B717" s="605"/>
      <c r="C717" s="12"/>
      <c r="D717" s="12"/>
      <c r="E717" s="12"/>
      <c r="F717" s="12"/>
      <c r="G717" s="609"/>
      <c r="H717" s="12"/>
      <c r="I717" s="609"/>
      <c r="J717" s="618"/>
      <c r="K717" s="619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</row>
    <row r="718">
      <c r="A718" s="12"/>
      <c r="B718" s="605"/>
      <c r="C718" s="12"/>
      <c r="D718" s="12"/>
      <c r="E718" s="12"/>
      <c r="F718" s="12"/>
      <c r="G718" s="609"/>
      <c r="H718" s="12"/>
      <c r="I718" s="609"/>
      <c r="J718" s="618"/>
      <c r="K718" s="619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</row>
    <row r="719">
      <c r="A719" s="12"/>
      <c r="B719" s="605"/>
      <c r="C719" s="12"/>
      <c r="D719" s="12"/>
      <c r="E719" s="12"/>
      <c r="F719" s="12"/>
      <c r="G719" s="609"/>
      <c r="H719" s="12"/>
      <c r="I719" s="609"/>
      <c r="J719" s="618"/>
      <c r="K719" s="619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</row>
    <row r="720">
      <c r="A720" s="12"/>
      <c r="B720" s="605"/>
      <c r="C720" s="12"/>
      <c r="D720" s="12"/>
      <c r="E720" s="12"/>
      <c r="F720" s="12"/>
      <c r="G720" s="609"/>
      <c r="H720" s="12"/>
      <c r="I720" s="609"/>
      <c r="J720" s="618"/>
      <c r="K720" s="619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>
      <c r="A721" s="12"/>
      <c r="B721" s="605"/>
      <c r="C721" s="12"/>
      <c r="D721" s="12"/>
      <c r="E721" s="12"/>
      <c r="F721" s="12"/>
      <c r="G721" s="609"/>
      <c r="H721" s="12"/>
      <c r="I721" s="609"/>
      <c r="J721" s="618"/>
      <c r="K721" s="619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</row>
    <row r="722">
      <c r="A722" s="12"/>
      <c r="B722" s="605"/>
      <c r="C722" s="12"/>
      <c r="D722" s="12"/>
      <c r="E722" s="12"/>
      <c r="F722" s="12"/>
      <c r="G722" s="609"/>
      <c r="H722" s="12"/>
      <c r="I722" s="609"/>
      <c r="J722" s="618"/>
      <c r="K722" s="619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</row>
    <row r="723">
      <c r="A723" s="12"/>
      <c r="B723" s="605"/>
      <c r="C723" s="12"/>
      <c r="D723" s="12"/>
      <c r="E723" s="12"/>
      <c r="F723" s="12"/>
      <c r="G723" s="609"/>
      <c r="H723" s="12"/>
      <c r="I723" s="609"/>
      <c r="J723" s="618"/>
      <c r="K723" s="619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</row>
    <row r="724">
      <c r="A724" s="12"/>
      <c r="B724" s="605"/>
      <c r="C724" s="12"/>
      <c r="D724" s="12"/>
      <c r="E724" s="12"/>
      <c r="F724" s="12"/>
      <c r="G724" s="609"/>
      <c r="H724" s="12"/>
      <c r="I724" s="609"/>
      <c r="J724" s="618"/>
      <c r="K724" s="619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</row>
    <row r="725">
      <c r="A725" s="12"/>
      <c r="B725" s="605"/>
      <c r="C725" s="12"/>
      <c r="D725" s="12"/>
      <c r="E725" s="12"/>
      <c r="F725" s="12"/>
      <c r="G725" s="609"/>
      <c r="H725" s="12"/>
      <c r="I725" s="609"/>
      <c r="J725" s="618"/>
      <c r="K725" s="619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</row>
    <row r="726">
      <c r="A726" s="12"/>
      <c r="B726" s="605"/>
      <c r="C726" s="12"/>
      <c r="D726" s="12"/>
      <c r="E726" s="12"/>
      <c r="F726" s="12"/>
      <c r="G726" s="609"/>
      <c r="H726" s="12"/>
      <c r="I726" s="609"/>
      <c r="J726" s="618"/>
      <c r="K726" s="619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</row>
    <row r="727">
      <c r="A727" s="12"/>
      <c r="B727" s="605"/>
      <c r="C727" s="12"/>
      <c r="D727" s="12"/>
      <c r="E727" s="12"/>
      <c r="F727" s="12"/>
      <c r="G727" s="609"/>
      <c r="H727" s="12"/>
      <c r="I727" s="609"/>
      <c r="J727" s="618"/>
      <c r="K727" s="619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</row>
    <row r="728">
      <c r="A728" s="12"/>
      <c r="B728" s="605"/>
      <c r="C728" s="12"/>
      <c r="D728" s="12"/>
      <c r="E728" s="12"/>
      <c r="F728" s="12"/>
      <c r="G728" s="609"/>
      <c r="H728" s="12"/>
      <c r="I728" s="609"/>
      <c r="J728" s="618"/>
      <c r="K728" s="619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</row>
    <row r="729">
      <c r="A729" s="12"/>
      <c r="B729" s="605"/>
      <c r="C729" s="12"/>
      <c r="D729" s="12"/>
      <c r="E729" s="12"/>
      <c r="F729" s="12"/>
      <c r="G729" s="609"/>
      <c r="H729" s="12"/>
      <c r="I729" s="609"/>
      <c r="J729" s="618"/>
      <c r="K729" s="619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</row>
    <row r="730">
      <c r="A730" s="12"/>
      <c r="B730" s="605"/>
      <c r="C730" s="12"/>
      <c r="D730" s="12"/>
      <c r="E730" s="12"/>
      <c r="F730" s="12"/>
      <c r="G730" s="609"/>
      <c r="H730" s="12"/>
      <c r="I730" s="609"/>
      <c r="J730" s="618"/>
      <c r="K730" s="619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</row>
    <row r="731">
      <c r="A731" s="12"/>
      <c r="B731" s="605"/>
      <c r="C731" s="12"/>
      <c r="D731" s="12"/>
      <c r="E731" s="12"/>
      <c r="F731" s="12"/>
      <c r="G731" s="609"/>
      <c r="H731" s="12"/>
      <c r="I731" s="609"/>
      <c r="J731" s="618"/>
      <c r="K731" s="619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</row>
    <row r="732">
      <c r="A732" s="12"/>
      <c r="B732" s="605"/>
      <c r="C732" s="12"/>
      <c r="D732" s="12"/>
      <c r="E732" s="12"/>
      <c r="F732" s="12"/>
      <c r="G732" s="609"/>
      <c r="H732" s="12"/>
      <c r="I732" s="609"/>
      <c r="J732" s="618"/>
      <c r="K732" s="619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</row>
    <row r="733">
      <c r="A733" s="12"/>
      <c r="B733" s="605"/>
      <c r="C733" s="12"/>
      <c r="D733" s="12"/>
      <c r="E733" s="12"/>
      <c r="F733" s="12"/>
      <c r="G733" s="609"/>
      <c r="H733" s="12"/>
      <c r="I733" s="609"/>
      <c r="J733" s="618"/>
      <c r="K733" s="619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</row>
    <row r="734">
      <c r="A734" s="12"/>
      <c r="B734" s="605"/>
      <c r="C734" s="12"/>
      <c r="D734" s="12"/>
      <c r="E734" s="12"/>
      <c r="F734" s="12"/>
      <c r="G734" s="609"/>
      <c r="H734" s="12"/>
      <c r="I734" s="609"/>
      <c r="J734" s="618"/>
      <c r="K734" s="619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</row>
    <row r="735">
      <c r="A735" s="12"/>
      <c r="B735" s="605"/>
      <c r="C735" s="12"/>
      <c r="D735" s="12"/>
      <c r="E735" s="12"/>
      <c r="F735" s="12"/>
      <c r="G735" s="609"/>
      <c r="H735" s="12"/>
      <c r="I735" s="609"/>
      <c r="J735" s="618"/>
      <c r="K735" s="619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</row>
    <row r="736">
      <c r="A736" s="12"/>
      <c r="B736" s="605"/>
      <c r="C736" s="12"/>
      <c r="D736" s="12"/>
      <c r="E736" s="12"/>
      <c r="F736" s="12"/>
      <c r="G736" s="609"/>
      <c r="H736" s="12"/>
      <c r="I736" s="609"/>
      <c r="J736" s="618"/>
      <c r="K736" s="619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</row>
    <row r="737">
      <c r="A737" s="12"/>
      <c r="B737" s="605"/>
      <c r="C737" s="12"/>
      <c r="D737" s="12"/>
      <c r="E737" s="12"/>
      <c r="F737" s="12"/>
      <c r="G737" s="609"/>
      <c r="H737" s="12"/>
      <c r="I737" s="609"/>
      <c r="J737" s="618"/>
      <c r="K737" s="619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</row>
    <row r="738">
      <c r="A738" s="12"/>
      <c r="B738" s="605"/>
      <c r="C738" s="12"/>
      <c r="D738" s="12"/>
      <c r="E738" s="12"/>
      <c r="F738" s="12"/>
      <c r="G738" s="609"/>
      <c r="H738" s="12"/>
      <c r="I738" s="609"/>
      <c r="J738" s="618"/>
      <c r="K738" s="619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>
      <c r="A739" s="12"/>
      <c r="B739" s="605"/>
      <c r="C739" s="12"/>
      <c r="D739" s="12"/>
      <c r="E739" s="12"/>
      <c r="F739" s="12"/>
      <c r="G739" s="609"/>
      <c r="H739" s="12"/>
      <c r="I739" s="609"/>
      <c r="J739" s="618"/>
      <c r="K739" s="619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</row>
    <row r="740">
      <c r="A740" s="12"/>
      <c r="B740" s="605"/>
      <c r="C740" s="12"/>
      <c r="D740" s="12"/>
      <c r="E740" s="12"/>
      <c r="F740" s="12"/>
      <c r="G740" s="609"/>
      <c r="H740" s="12"/>
      <c r="I740" s="609"/>
      <c r="J740" s="618"/>
      <c r="K740" s="619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</row>
    <row r="741">
      <c r="A741" s="12"/>
      <c r="B741" s="605"/>
      <c r="C741" s="12"/>
      <c r="D741" s="12"/>
      <c r="E741" s="12"/>
      <c r="F741" s="12"/>
      <c r="G741" s="609"/>
      <c r="H741" s="12"/>
      <c r="I741" s="609"/>
      <c r="J741" s="618"/>
      <c r="K741" s="619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</row>
    <row r="742">
      <c r="A742" s="12"/>
      <c r="B742" s="605"/>
      <c r="C742" s="12"/>
      <c r="D742" s="12"/>
      <c r="E742" s="12"/>
      <c r="F742" s="12"/>
      <c r="G742" s="609"/>
      <c r="H742" s="12"/>
      <c r="I742" s="609"/>
      <c r="J742" s="618"/>
      <c r="K742" s="619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</row>
    <row r="743">
      <c r="A743" s="12"/>
      <c r="B743" s="605"/>
      <c r="C743" s="12"/>
      <c r="D743" s="12"/>
      <c r="E743" s="12"/>
      <c r="F743" s="12"/>
      <c r="G743" s="609"/>
      <c r="H743" s="12"/>
      <c r="I743" s="609"/>
      <c r="J743" s="618"/>
      <c r="K743" s="619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</row>
    <row r="744">
      <c r="A744" s="12"/>
      <c r="B744" s="605"/>
      <c r="C744" s="12"/>
      <c r="D744" s="12"/>
      <c r="E744" s="12"/>
      <c r="F744" s="12"/>
      <c r="G744" s="609"/>
      <c r="H744" s="12"/>
      <c r="I744" s="609"/>
      <c r="J744" s="618"/>
      <c r="K744" s="619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</row>
    <row r="745">
      <c r="A745" s="12"/>
      <c r="B745" s="605"/>
      <c r="C745" s="12"/>
      <c r="D745" s="12"/>
      <c r="E745" s="12"/>
      <c r="F745" s="12"/>
      <c r="G745" s="609"/>
      <c r="H745" s="12"/>
      <c r="I745" s="609"/>
      <c r="J745" s="618"/>
      <c r="K745" s="619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</row>
    <row r="746">
      <c r="A746" s="12"/>
      <c r="B746" s="605"/>
      <c r="C746" s="12"/>
      <c r="D746" s="12"/>
      <c r="E746" s="12"/>
      <c r="F746" s="12"/>
      <c r="G746" s="609"/>
      <c r="H746" s="12"/>
      <c r="I746" s="609"/>
      <c r="J746" s="618"/>
      <c r="K746" s="619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</row>
    <row r="747">
      <c r="A747" s="12"/>
      <c r="B747" s="605"/>
      <c r="C747" s="12"/>
      <c r="D747" s="12"/>
      <c r="E747" s="12"/>
      <c r="F747" s="12"/>
      <c r="G747" s="609"/>
      <c r="H747" s="12"/>
      <c r="I747" s="609"/>
      <c r="J747" s="618"/>
      <c r="K747" s="619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</row>
    <row r="748">
      <c r="A748" s="12"/>
      <c r="B748" s="605"/>
      <c r="C748" s="12"/>
      <c r="D748" s="12"/>
      <c r="E748" s="12"/>
      <c r="F748" s="12"/>
      <c r="G748" s="609"/>
      <c r="H748" s="12"/>
      <c r="I748" s="609"/>
      <c r="J748" s="618"/>
      <c r="K748" s="619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</row>
    <row r="749">
      <c r="A749" s="12"/>
      <c r="B749" s="605"/>
      <c r="C749" s="12"/>
      <c r="D749" s="12"/>
      <c r="E749" s="12"/>
      <c r="F749" s="12"/>
      <c r="G749" s="609"/>
      <c r="H749" s="12"/>
      <c r="I749" s="609"/>
      <c r="J749" s="618"/>
      <c r="K749" s="619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</row>
    <row r="750">
      <c r="A750" s="12"/>
      <c r="B750" s="605"/>
      <c r="C750" s="12"/>
      <c r="D750" s="12"/>
      <c r="E750" s="12"/>
      <c r="F750" s="12"/>
      <c r="G750" s="609"/>
      <c r="H750" s="12"/>
      <c r="I750" s="609"/>
      <c r="J750" s="618"/>
      <c r="K750" s="619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</row>
    <row r="751">
      <c r="A751" s="12"/>
      <c r="B751" s="605"/>
      <c r="C751" s="12"/>
      <c r="D751" s="12"/>
      <c r="E751" s="12"/>
      <c r="F751" s="12"/>
      <c r="G751" s="609"/>
      <c r="H751" s="12"/>
      <c r="I751" s="609"/>
      <c r="J751" s="618"/>
      <c r="K751" s="619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</row>
    <row r="752">
      <c r="A752" s="12"/>
      <c r="B752" s="605"/>
      <c r="C752" s="12"/>
      <c r="D752" s="12"/>
      <c r="E752" s="12"/>
      <c r="F752" s="12"/>
      <c r="G752" s="609"/>
      <c r="H752" s="12"/>
      <c r="I752" s="609"/>
      <c r="J752" s="618"/>
      <c r="K752" s="619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</row>
    <row r="753">
      <c r="A753" s="12"/>
      <c r="B753" s="605"/>
      <c r="C753" s="12"/>
      <c r="D753" s="12"/>
      <c r="E753" s="12"/>
      <c r="F753" s="12"/>
      <c r="G753" s="609"/>
      <c r="H753" s="12"/>
      <c r="I753" s="609"/>
      <c r="J753" s="618"/>
      <c r="K753" s="619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</row>
    <row r="754">
      <c r="A754" s="12"/>
      <c r="B754" s="605"/>
      <c r="C754" s="12"/>
      <c r="D754" s="12"/>
      <c r="E754" s="12"/>
      <c r="F754" s="12"/>
      <c r="G754" s="609"/>
      <c r="H754" s="12"/>
      <c r="I754" s="609"/>
      <c r="J754" s="618"/>
      <c r="K754" s="619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</row>
    <row r="755">
      <c r="A755" s="12"/>
      <c r="B755" s="605"/>
      <c r="C755" s="12"/>
      <c r="D755" s="12"/>
      <c r="E755" s="12"/>
      <c r="F755" s="12"/>
      <c r="G755" s="609"/>
      <c r="H755" s="12"/>
      <c r="I755" s="609"/>
      <c r="J755" s="618"/>
      <c r="K755" s="619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</row>
    <row r="756">
      <c r="A756" s="12"/>
      <c r="B756" s="605"/>
      <c r="C756" s="12"/>
      <c r="D756" s="12"/>
      <c r="E756" s="12"/>
      <c r="F756" s="12"/>
      <c r="G756" s="609"/>
      <c r="H756" s="12"/>
      <c r="I756" s="609"/>
      <c r="J756" s="618"/>
      <c r="K756" s="619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>
      <c r="A757" s="12"/>
      <c r="B757" s="605"/>
      <c r="C757" s="12"/>
      <c r="D757" s="12"/>
      <c r="E757" s="12"/>
      <c r="F757" s="12"/>
      <c r="G757" s="609"/>
      <c r="H757" s="12"/>
      <c r="I757" s="609"/>
      <c r="J757" s="618"/>
      <c r="K757" s="619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</row>
    <row r="758">
      <c r="A758" s="12"/>
      <c r="B758" s="605"/>
      <c r="C758" s="12"/>
      <c r="D758" s="12"/>
      <c r="E758" s="12"/>
      <c r="F758" s="12"/>
      <c r="G758" s="609"/>
      <c r="H758" s="12"/>
      <c r="I758" s="609"/>
      <c r="J758" s="618"/>
      <c r="K758" s="619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</row>
    <row r="759">
      <c r="A759" s="12"/>
      <c r="B759" s="605"/>
      <c r="C759" s="12"/>
      <c r="D759" s="12"/>
      <c r="E759" s="12"/>
      <c r="F759" s="12"/>
      <c r="G759" s="609"/>
      <c r="H759" s="12"/>
      <c r="I759" s="609"/>
      <c r="J759" s="618"/>
      <c r="K759" s="619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</row>
    <row r="760">
      <c r="A760" s="12"/>
      <c r="B760" s="605"/>
      <c r="C760" s="12"/>
      <c r="D760" s="12"/>
      <c r="E760" s="12"/>
      <c r="F760" s="12"/>
      <c r="G760" s="609"/>
      <c r="H760" s="12"/>
      <c r="I760" s="609"/>
      <c r="J760" s="618"/>
      <c r="K760" s="619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</row>
    <row r="761">
      <c r="A761" s="12"/>
      <c r="B761" s="605"/>
      <c r="C761" s="12"/>
      <c r="D761" s="12"/>
      <c r="E761" s="12"/>
      <c r="F761" s="12"/>
      <c r="G761" s="609"/>
      <c r="H761" s="12"/>
      <c r="I761" s="609"/>
      <c r="J761" s="618"/>
      <c r="K761" s="619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</row>
    <row r="762">
      <c r="A762" s="12"/>
      <c r="B762" s="605"/>
      <c r="C762" s="12"/>
      <c r="D762" s="12"/>
      <c r="E762" s="12"/>
      <c r="F762" s="12"/>
      <c r="G762" s="609"/>
      <c r="H762" s="12"/>
      <c r="I762" s="609"/>
      <c r="J762" s="618"/>
      <c r="K762" s="619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</row>
    <row r="763">
      <c r="A763" s="12"/>
      <c r="B763" s="605"/>
      <c r="C763" s="12"/>
      <c r="D763" s="12"/>
      <c r="E763" s="12"/>
      <c r="F763" s="12"/>
      <c r="G763" s="609"/>
      <c r="H763" s="12"/>
      <c r="I763" s="609"/>
      <c r="J763" s="618"/>
      <c r="K763" s="619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</row>
    <row r="764">
      <c r="A764" s="12"/>
      <c r="B764" s="605"/>
      <c r="C764" s="12"/>
      <c r="D764" s="12"/>
      <c r="E764" s="12"/>
      <c r="F764" s="12"/>
      <c r="G764" s="609"/>
      <c r="H764" s="12"/>
      <c r="I764" s="609"/>
      <c r="J764" s="618"/>
      <c r="K764" s="619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</row>
    <row r="765">
      <c r="A765" s="12"/>
      <c r="B765" s="605"/>
      <c r="C765" s="12"/>
      <c r="D765" s="12"/>
      <c r="E765" s="12"/>
      <c r="F765" s="12"/>
      <c r="G765" s="609"/>
      <c r="H765" s="12"/>
      <c r="I765" s="609"/>
      <c r="J765" s="618"/>
      <c r="K765" s="619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</row>
    <row r="766">
      <c r="A766" s="12"/>
      <c r="B766" s="605"/>
      <c r="C766" s="12"/>
      <c r="D766" s="12"/>
      <c r="E766" s="12"/>
      <c r="F766" s="12"/>
      <c r="G766" s="609"/>
      <c r="H766" s="12"/>
      <c r="I766" s="609"/>
      <c r="J766" s="618"/>
      <c r="K766" s="619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</row>
    <row r="767">
      <c r="A767" s="12"/>
      <c r="B767" s="605"/>
      <c r="C767" s="12"/>
      <c r="D767" s="12"/>
      <c r="E767" s="12"/>
      <c r="F767" s="12"/>
      <c r="G767" s="609"/>
      <c r="H767" s="12"/>
      <c r="I767" s="609"/>
      <c r="J767" s="618"/>
      <c r="K767" s="619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</row>
    <row r="768">
      <c r="A768" s="12"/>
      <c r="B768" s="605"/>
      <c r="C768" s="12"/>
      <c r="D768" s="12"/>
      <c r="E768" s="12"/>
      <c r="F768" s="12"/>
      <c r="G768" s="609"/>
      <c r="H768" s="12"/>
      <c r="I768" s="609"/>
      <c r="J768" s="618"/>
      <c r="K768" s="619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</row>
    <row r="769">
      <c r="A769" s="12"/>
      <c r="B769" s="605"/>
      <c r="C769" s="12"/>
      <c r="D769" s="12"/>
      <c r="E769" s="12"/>
      <c r="F769" s="12"/>
      <c r="G769" s="609"/>
      <c r="H769" s="12"/>
      <c r="I769" s="609"/>
      <c r="J769" s="618"/>
      <c r="K769" s="619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</row>
    <row r="770">
      <c r="A770" s="12"/>
      <c r="B770" s="605"/>
      <c r="C770" s="12"/>
      <c r="D770" s="12"/>
      <c r="E770" s="12"/>
      <c r="F770" s="12"/>
      <c r="G770" s="609"/>
      <c r="H770" s="12"/>
      <c r="I770" s="609"/>
      <c r="J770" s="618"/>
      <c r="K770" s="619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</row>
    <row r="771">
      <c r="A771" s="12"/>
      <c r="B771" s="605"/>
      <c r="C771" s="12"/>
      <c r="D771" s="12"/>
      <c r="E771" s="12"/>
      <c r="F771" s="12"/>
      <c r="G771" s="609"/>
      <c r="H771" s="12"/>
      <c r="I771" s="609"/>
      <c r="J771" s="618"/>
      <c r="K771" s="619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</row>
    <row r="772">
      <c r="A772" s="12"/>
      <c r="B772" s="605"/>
      <c r="C772" s="12"/>
      <c r="D772" s="12"/>
      <c r="E772" s="12"/>
      <c r="F772" s="12"/>
      <c r="G772" s="609"/>
      <c r="H772" s="12"/>
      <c r="I772" s="609"/>
      <c r="J772" s="618"/>
      <c r="K772" s="619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</row>
    <row r="773">
      <c r="A773" s="12"/>
      <c r="B773" s="605"/>
      <c r="C773" s="12"/>
      <c r="D773" s="12"/>
      <c r="E773" s="12"/>
      <c r="F773" s="12"/>
      <c r="G773" s="609"/>
      <c r="H773" s="12"/>
      <c r="I773" s="609"/>
      <c r="J773" s="618"/>
      <c r="K773" s="619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</row>
    <row r="774">
      <c r="A774" s="12"/>
      <c r="B774" s="605"/>
      <c r="C774" s="12"/>
      <c r="D774" s="12"/>
      <c r="E774" s="12"/>
      <c r="F774" s="12"/>
      <c r="G774" s="609"/>
      <c r="H774" s="12"/>
      <c r="I774" s="609"/>
      <c r="J774" s="618"/>
      <c r="K774" s="619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>
      <c r="A775" s="12"/>
      <c r="B775" s="605"/>
      <c r="C775" s="12"/>
      <c r="D775" s="12"/>
      <c r="E775" s="12"/>
      <c r="F775" s="12"/>
      <c r="G775" s="609"/>
      <c r="H775" s="12"/>
      <c r="I775" s="609"/>
      <c r="J775" s="618"/>
      <c r="K775" s="619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</row>
    <row r="776">
      <c r="A776" s="12"/>
      <c r="B776" s="605"/>
      <c r="C776" s="12"/>
      <c r="D776" s="12"/>
      <c r="E776" s="12"/>
      <c r="F776" s="12"/>
      <c r="G776" s="609"/>
      <c r="H776" s="12"/>
      <c r="I776" s="609"/>
      <c r="J776" s="618"/>
      <c r="K776" s="619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</row>
    <row r="777">
      <c r="A777" s="12"/>
      <c r="B777" s="605"/>
      <c r="C777" s="12"/>
      <c r="D777" s="12"/>
      <c r="E777" s="12"/>
      <c r="F777" s="12"/>
      <c r="G777" s="609"/>
      <c r="H777" s="12"/>
      <c r="I777" s="609"/>
      <c r="J777" s="618"/>
      <c r="K777" s="619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</row>
    <row r="778">
      <c r="A778" s="12"/>
      <c r="B778" s="605"/>
      <c r="C778" s="12"/>
      <c r="D778" s="12"/>
      <c r="E778" s="12"/>
      <c r="F778" s="12"/>
      <c r="G778" s="609"/>
      <c r="H778" s="12"/>
      <c r="I778" s="609"/>
      <c r="J778" s="618"/>
      <c r="K778" s="619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</row>
    <row r="779">
      <c r="A779" s="12"/>
      <c r="B779" s="605"/>
      <c r="C779" s="12"/>
      <c r="D779" s="12"/>
      <c r="E779" s="12"/>
      <c r="F779" s="12"/>
      <c r="G779" s="609"/>
      <c r="H779" s="12"/>
      <c r="I779" s="609"/>
      <c r="J779" s="618"/>
      <c r="K779" s="619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</row>
    <row r="780">
      <c r="A780" s="12"/>
      <c r="B780" s="605"/>
      <c r="C780" s="12"/>
      <c r="D780" s="12"/>
      <c r="E780" s="12"/>
      <c r="F780" s="12"/>
      <c r="G780" s="609"/>
      <c r="H780" s="12"/>
      <c r="I780" s="609"/>
      <c r="J780" s="618"/>
      <c r="K780" s="619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</row>
    <row r="781">
      <c r="A781" s="12"/>
      <c r="B781" s="605"/>
      <c r="C781" s="12"/>
      <c r="D781" s="12"/>
      <c r="E781" s="12"/>
      <c r="F781" s="12"/>
      <c r="G781" s="609"/>
      <c r="H781" s="12"/>
      <c r="I781" s="609"/>
      <c r="J781" s="618"/>
      <c r="K781" s="619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</row>
    <row r="782">
      <c r="A782" s="12"/>
      <c r="B782" s="605"/>
      <c r="C782" s="12"/>
      <c r="D782" s="12"/>
      <c r="E782" s="12"/>
      <c r="F782" s="12"/>
      <c r="G782" s="609"/>
      <c r="H782" s="12"/>
      <c r="I782" s="609"/>
      <c r="J782" s="618"/>
      <c r="K782" s="619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</row>
    <row r="783">
      <c r="A783" s="12"/>
      <c r="B783" s="605"/>
      <c r="C783" s="12"/>
      <c r="D783" s="12"/>
      <c r="E783" s="12"/>
      <c r="F783" s="12"/>
      <c r="G783" s="609"/>
      <c r="H783" s="12"/>
      <c r="I783" s="609"/>
      <c r="J783" s="618"/>
      <c r="K783" s="619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</row>
    <row r="784">
      <c r="A784" s="12"/>
      <c r="B784" s="605"/>
      <c r="C784" s="12"/>
      <c r="D784" s="12"/>
      <c r="E784" s="12"/>
      <c r="F784" s="12"/>
      <c r="G784" s="609"/>
      <c r="H784" s="12"/>
      <c r="I784" s="609"/>
      <c r="J784" s="618"/>
      <c r="K784" s="619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</row>
    <row r="785">
      <c r="A785" s="12"/>
      <c r="B785" s="605"/>
      <c r="C785" s="12"/>
      <c r="D785" s="12"/>
      <c r="E785" s="12"/>
      <c r="F785" s="12"/>
      <c r="G785" s="609"/>
      <c r="H785" s="12"/>
      <c r="I785" s="609"/>
      <c r="J785" s="618"/>
      <c r="K785" s="619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</row>
    <row r="786">
      <c r="A786" s="12"/>
      <c r="B786" s="605"/>
      <c r="C786" s="12"/>
      <c r="D786" s="12"/>
      <c r="E786" s="12"/>
      <c r="F786" s="12"/>
      <c r="G786" s="609"/>
      <c r="H786" s="12"/>
      <c r="I786" s="609"/>
      <c r="J786" s="618"/>
      <c r="K786" s="619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</row>
    <row r="787">
      <c r="A787" s="12"/>
      <c r="B787" s="605"/>
      <c r="C787" s="12"/>
      <c r="D787" s="12"/>
      <c r="E787" s="12"/>
      <c r="F787" s="12"/>
      <c r="G787" s="609"/>
      <c r="H787" s="12"/>
      <c r="I787" s="609"/>
      <c r="J787" s="618"/>
      <c r="K787" s="619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</row>
    <row r="788">
      <c r="A788" s="12"/>
      <c r="B788" s="605"/>
      <c r="C788" s="12"/>
      <c r="D788" s="12"/>
      <c r="E788" s="12"/>
      <c r="F788" s="12"/>
      <c r="G788" s="609"/>
      <c r="H788" s="12"/>
      <c r="I788" s="609"/>
      <c r="J788" s="618"/>
      <c r="K788" s="619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</row>
    <row r="789">
      <c r="A789" s="12"/>
      <c r="B789" s="605"/>
      <c r="C789" s="12"/>
      <c r="D789" s="12"/>
      <c r="E789" s="12"/>
      <c r="F789" s="12"/>
      <c r="G789" s="609"/>
      <c r="H789" s="12"/>
      <c r="I789" s="609"/>
      <c r="J789" s="618"/>
      <c r="K789" s="619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</row>
    <row r="790">
      <c r="A790" s="12"/>
      <c r="B790" s="605"/>
      <c r="C790" s="12"/>
      <c r="D790" s="12"/>
      <c r="E790" s="12"/>
      <c r="F790" s="12"/>
      <c r="G790" s="609"/>
      <c r="H790" s="12"/>
      <c r="I790" s="609"/>
      <c r="J790" s="618"/>
      <c r="K790" s="619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</row>
    <row r="791">
      <c r="A791" s="12"/>
      <c r="B791" s="605"/>
      <c r="C791" s="12"/>
      <c r="D791" s="12"/>
      <c r="E791" s="12"/>
      <c r="F791" s="12"/>
      <c r="G791" s="609"/>
      <c r="H791" s="12"/>
      <c r="I791" s="609"/>
      <c r="J791" s="618"/>
      <c r="K791" s="619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</row>
    <row r="792">
      <c r="A792" s="12"/>
      <c r="B792" s="605"/>
      <c r="C792" s="12"/>
      <c r="D792" s="12"/>
      <c r="E792" s="12"/>
      <c r="F792" s="12"/>
      <c r="G792" s="609"/>
      <c r="H792" s="12"/>
      <c r="I792" s="609"/>
      <c r="J792" s="618"/>
      <c r="K792" s="619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>
      <c r="A793" s="12"/>
      <c r="B793" s="605"/>
      <c r="C793" s="12"/>
      <c r="D793" s="12"/>
      <c r="E793" s="12"/>
      <c r="F793" s="12"/>
      <c r="G793" s="609"/>
      <c r="H793" s="12"/>
      <c r="I793" s="609"/>
      <c r="J793" s="618"/>
      <c r="K793" s="619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</row>
    <row r="794">
      <c r="A794" s="12"/>
      <c r="B794" s="605"/>
      <c r="C794" s="12"/>
      <c r="D794" s="12"/>
      <c r="E794" s="12"/>
      <c r="F794" s="12"/>
      <c r="G794" s="609"/>
      <c r="H794" s="12"/>
      <c r="I794" s="609"/>
      <c r="J794" s="618"/>
      <c r="K794" s="619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</row>
    <row r="795">
      <c r="A795" s="12"/>
      <c r="B795" s="605"/>
      <c r="C795" s="12"/>
      <c r="D795" s="12"/>
      <c r="E795" s="12"/>
      <c r="F795" s="12"/>
      <c r="G795" s="609"/>
      <c r="H795" s="12"/>
      <c r="I795" s="609"/>
      <c r="J795" s="618"/>
      <c r="K795" s="619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</row>
    <row r="796">
      <c r="A796" s="12"/>
      <c r="B796" s="605"/>
      <c r="C796" s="12"/>
      <c r="D796" s="12"/>
      <c r="E796" s="12"/>
      <c r="F796" s="12"/>
      <c r="G796" s="609"/>
      <c r="H796" s="12"/>
      <c r="I796" s="609"/>
      <c r="J796" s="618"/>
      <c r="K796" s="619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</row>
    <row r="797">
      <c r="A797" s="12"/>
      <c r="B797" s="605"/>
      <c r="C797" s="12"/>
      <c r="D797" s="12"/>
      <c r="E797" s="12"/>
      <c r="F797" s="12"/>
      <c r="G797" s="609"/>
      <c r="H797" s="12"/>
      <c r="I797" s="609"/>
      <c r="J797" s="618"/>
      <c r="K797" s="619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</row>
    <row r="798">
      <c r="A798" s="12"/>
      <c r="B798" s="605"/>
      <c r="C798" s="12"/>
      <c r="D798" s="12"/>
      <c r="E798" s="12"/>
      <c r="F798" s="12"/>
      <c r="G798" s="609"/>
      <c r="H798" s="12"/>
      <c r="I798" s="609"/>
      <c r="J798" s="618"/>
      <c r="K798" s="619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</row>
    <row r="799">
      <c r="A799" s="12"/>
      <c r="B799" s="605"/>
      <c r="C799" s="12"/>
      <c r="D799" s="12"/>
      <c r="E799" s="12"/>
      <c r="F799" s="12"/>
      <c r="G799" s="609"/>
      <c r="H799" s="12"/>
      <c r="I799" s="609"/>
      <c r="J799" s="618"/>
      <c r="K799" s="619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</row>
    <row r="800">
      <c r="A800" s="12"/>
      <c r="B800" s="605"/>
      <c r="C800" s="12"/>
      <c r="D800" s="12"/>
      <c r="E800" s="12"/>
      <c r="F800" s="12"/>
      <c r="G800" s="609"/>
      <c r="H800" s="12"/>
      <c r="I800" s="609"/>
      <c r="J800" s="618"/>
      <c r="K800" s="619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</row>
    <row r="801">
      <c r="A801" s="12"/>
      <c r="B801" s="605"/>
      <c r="C801" s="12"/>
      <c r="D801" s="12"/>
      <c r="E801" s="12"/>
      <c r="F801" s="12"/>
      <c r="G801" s="609"/>
      <c r="H801" s="12"/>
      <c r="I801" s="609"/>
      <c r="J801" s="618"/>
      <c r="K801" s="619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</row>
    <row r="802">
      <c r="A802" s="12"/>
      <c r="B802" s="605"/>
      <c r="C802" s="12"/>
      <c r="D802" s="12"/>
      <c r="E802" s="12"/>
      <c r="F802" s="12"/>
      <c r="G802" s="609"/>
      <c r="H802" s="12"/>
      <c r="I802" s="609"/>
      <c r="J802" s="618"/>
      <c r="K802" s="619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</row>
    <row r="803">
      <c r="A803" s="12"/>
      <c r="B803" s="605"/>
      <c r="C803" s="12"/>
      <c r="D803" s="12"/>
      <c r="E803" s="12"/>
      <c r="F803" s="12"/>
      <c r="G803" s="609"/>
      <c r="H803" s="12"/>
      <c r="I803" s="609"/>
      <c r="J803" s="618"/>
      <c r="K803" s="619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</row>
    <row r="804">
      <c r="A804" s="12"/>
      <c r="B804" s="605"/>
      <c r="C804" s="12"/>
      <c r="D804" s="12"/>
      <c r="E804" s="12"/>
      <c r="F804" s="12"/>
      <c r="G804" s="609"/>
      <c r="H804" s="12"/>
      <c r="I804" s="609"/>
      <c r="J804" s="618"/>
      <c r="K804" s="619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</row>
    <row r="805">
      <c r="A805" s="12"/>
      <c r="B805" s="605"/>
      <c r="C805" s="12"/>
      <c r="D805" s="12"/>
      <c r="E805" s="12"/>
      <c r="F805" s="12"/>
      <c r="G805" s="609"/>
      <c r="H805" s="12"/>
      <c r="I805" s="609"/>
      <c r="J805" s="618"/>
      <c r="K805" s="619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</row>
    <row r="806">
      <c r="A806" s="12"/>
      <c r="B806" s="605"/>
      <c r="C806" s="12"/>
      <c r="D806" s="12"/>
      <c r="E806" s="12"/>
      <c r="F806" s="12"/>
      <c r="G806" s="609"/>
      <c r="H806" s="12"/>
      <c r="I806" s="609"/>
      <c r="J806" s="618"/>
      <c r="K806" s="619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</row>
    <row r="807">
      <c r="A807" s="12"/>
      <c r="B807" s="605"/>
      <c r="C807" s="12"/>
      <c r="D807" s="12"/>
      <c r="E807" s="12"/>
      <c r="F807" s="12"/>
      <c r="G807" s="609"/>
      <c r="H807" s="12"/>
      <c r="I807" s="609"/>
      <c r="J807" s="618"/>
      <c r="K807" s="619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</row>
    <row r="808">
      <c r="A808" s="12"/>
      <c r="B808" s="605"/>
      <c r="C808" s="12"/>
      <c r="D808" s="12"/>
      <c r="E808" s="12"/>
      <c r="F808" s="12"/>
      <c r="G808" s="609"/>
      <c r="H808" s="12"/>
      <c r="I808" s="609"/>
      <c r="J808" s="618"/>
      <c r="K808" s="619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</row>
    <row r="809">
      <c r="A809" s="12"/>
      <c r="B809" s="605"/>
      <c r="C809" s="12"/>
      <c r="D809" s="12"/>
      <c r="E809" s="12"/>
      <c r="F809" s="12"/>
      <c r="G809" s="609"/>
      <c r="H809" s="12"/>
      <c r="I809" s="609"/>
      <c r="J809" s="618"/>
      <c r="K809" s="619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</row>
    <row r="810">
      <c r="A810" s="12"/>
      <c r="B810" s="605"/>
      <c r="C810" s="12"/>
      <c r="D810" s="12"/>
      <c r="E810" s="12"/>
      <c r="F810" s="12"/>
      <c r="G810" s="609"/>
      <c r="H810" s="12"/>
      <c r="I810" s="609"/>
      <c r="J810" s="618"/>
      <c r="K810" s="619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>
      <c r="A811" s="12"/>
      <c r="B811" s="605"/>
      <c r="C811" s="12"/>
      <c r="D811" s="12"/>
      <c r="E811" s="12"/>
      <c r="F811" s="12"/>
      <c r="G811" s="609"/>
      <c r="H811" s="12"/>
      <c r="I811" s="609"/>
      <c r="J811" s="618"/>
      <c r="K811" s="619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</row>
    <row r="812">
      <c r="A812" s="12"/>
      <c r="B812" s="605"/>
      <c r="C812" s="12"/>
      <c r="D812" s="12"/>
      <c r="E812" s="12"/>
      <c r="F812" s="12"/>
      <c r="G812" s="609"/>
      <c r="H812" s="12"/>
      <c r="I812" s="609"/>
      <c r="J812" s="618"/>
      <c r="K812" s="619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</row>
    <row r="813">
      <c r="A813" s="12"/>
      <c r="B813" s="605"/>
      <c r="C813" s="12"/>
      <c r="D813" s="12"/>
      <c r="E813" s="12"/>
      <c r="F813" s="12"/>
      <c r="G813" s="609"/>
      <c r="H813" s="12"/>
      <c r="I813" s="609"/>
      <c r="J813" s="618"/>
      <c r="K813" s="619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</row>
    <row r="814">
      <c r="A814" s="12"/>
      <c r="B814" s="605"/>
      <c r="C814" s="12"/>
      <c r="D814" s="12"/>
      <c r="E814" s="12"/>
      <c r="F814" s="12"/>
      <c r="G814" s="609"/>
      <c r="H814" s="12"/>
      <c r="I814" s="609"/>
      <c r="J814" s="618"/>
      <c r="K814" s="619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</row>
    <row r="815">
      <c r="A815" s="12"/>
      <c r="B815" s="605"/>
      <c r="C815" s="12"/>
      <c r="D815" s="12"/>
      <c r="E815" s="12"/>
      <c r="F815" s="12"/>
      <c r="G815" s="609"/>
      <c r="H815" s="12"/>
      <c r="I815" s="609"/>
      <c r="J815" s="618"/>
      <c r="K815" s="619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</row>
    <row r="816">
      <c r="A816" s="12"/>
      <c r="B816" s="605"/>
      <c r="C816" s="12"/>
      <c r="D816" s="12"/>
      <c r="E816" s="12"/>
      <c r="F816" s="12"/>
      <c r="G816" s="609"/>
      <c r="H816" s="12"/>
      <c r="I816" s="609"/>
      <c r="J816" s="618"/>
      <c r="K816" s="619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</row>
    <row r="817">
      <c r="A817" s="12"/>
      <c r="B817" s="605"/>
      <c r="C817" s="12"/>
      <c r="D817" s="12"/>
      <c r="E817" s="12"/>
      <c r="F817" s="12"/>
      <c r="G817" s="609"/>
      <c r="H817" s="12"/>
      <c r="I817" s="609"/>
      <c r="J817" s="618"/>
      <c r="K817" s="619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</row>
    <row r="818">
      <c r="A818" s="12"/>
      <c r="B818" s="605"/>
      <c r="C818" s="12"/>
      <c r="D818" s="12"/>
      <c r="E818" s="12"/>
      <c r="F818" s="12"/>
      <c r="G818" s="609"/>
      <c r="H818" s="12"/>
      <c r="I818" s="609"/>
      <c r="J818" s="618"/>
      <c r="K818" s="619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</row>
    <row r="819">
      <c r="A819" s="12"/>
      <c r="B819" s="605"/>
      <c r="C819" s="12"/>
      <c r="D819" s="12"/>
      <c r="E819" s="12"/>
      <c r="F819" s="12"/>
      <c r="G819" s="609"/>
      <c r="H819" s="12"/>
      <c r="I819" s="609"/>
      <c r="J819" s="618"/>
      <c r="K819" s="619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</row>
    <row r="820">
      <c r="A820" s="12"/>
      <c r="B820" s="605"/>
      <c r="C820" s="12"/>
      <c r="D820" s="12"/>
      <c r="E820" s="12"/>
      <c r="F820" s="12"/>
      <c r="G820" s="609"/>
      <c r="H820" s="12"/>
      <c r="I820" s="609"/>
      <c r="J820" s="618"/>
      <c r="K820" s="619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</row>
    <row r="821">
      <c r="A821" s="12"/>
      <c r="B821" s="605"/>
      <c r="C821" s="12"/>
      <c r="D821" s="12"/>
      <c r="E821" s="12"/>
      <c r="F821" s="12"/>
      <c r="G821" s="609"/>
      <c r="H821" s="12"/>
      <c r="I821" s="609"/>
      <c r="J821" s="618"/>
      <c r="K821" s="619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</row>
    <row r="822">
      <c r="A822" s="12"/>
      <c r="B822" s="605"/>
      <c r="C822" s="12"/>
      <c r="D822" s="12"/>
      <c r="E822" s="12"/>
      <c r="F822" s="12"/>
      <c r="G822" s="609"/>
      <c r="H822" s="12"/>
      <c r="I822" s="609"/>
      <c r="J822" s="618"/>
      <c r="K822" s="619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</row>
    <row r="823">
      <c r="A823" s="12"/>
      <c r="B823" s="605"/>
      <c r="C823" s="12"/>
      <c r="D823" s="12"/>
      <c r="E823" s="12"/>
      <c r="F823" s="12"/>
      <c r="G823" s="609"/>
      <c r="H823" s="12"/>
      <c r="I823" s="609"/>
      <c r="J823" s="618"/>
      <c r="K823" s="619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</row>
    <row r="824">
      <c r="A824" s="12"/>
      <c r="B824" s="605"/>
      <c r="C824" s="12"/>
      <c r="D824" s="12"/>
      <c r="E824" s="12"/>
      <c r="F824" s="12"/>
      <c r="G824" s="609"/>
      <c r="H824" s="12"/>
      <c r="I824" s="609"/>
      <c r="J824" s="618"/>
      <c r="K824" s="619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</row>
    <row r="825">
      <c r="A825" s="12"/>
      <c r="B825" s="605"/>
      <c r="C825" s="12"/>
      <c r="D825" s="12"/>
      <c r="E825" s="12"/>
      <c r="F825" s="12"/>
      <c r="G825" s="609"/>
      <c r="H825" s="12"/>
      <c r="I825" s="609"/>
      <c r="J825" s="618"/>
      <c r="K825" s="619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</row>
    <row r="826">
      <c r="A826" s="12"/>
      <c r="B826" s="605"/>
      <c r="C826" s="12"/>
      <c r="D826" s="12"/>
      <c r="E826" s="12"/>
      <c r="F826" s="12"/>
      <c r="G826" s="609"/>
      <c r="H826" s="12"/>
      <c r="I826" s="609"/>
      <c r="J826" s="618"/>
      <c r="K826" s="619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</row>
    <row r="827">
      <c r="A827" s="12"/>
      <c r="B827" s="605"/>
      <c r="C827" s="12"/>
      <c r="D827" s="12"/>
      <c r="E827" s="12"/>
      <c r="F827" s="12"/>
      <c r="G827" s="609"/>
      <c r="H827" s="12"/>
      <c r="I827" s="609"/>
      <c r="J827" s="618"/>
      <c r="K827" s="619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</row>
    <row r="828">
      <c r="A828" s="12"/>
      <c r="B828" s="605"/>
      <c r="C828" s="12"/>
      <c r="D828" s="12"/>
      <c r="E828" s="12"/>
      <c r="F828" s="12"/>
      <c r="G828" s="609"/>
      <c r="H828" s="12"/>
      <c r="I828" s="609"/>
      <c r="J828" s="618"/>
      <c r="K828" s="619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>
      <c r="A829" s="12"/>
      <c r="B829" s="605"/>
      <c r="C829" s="12"/>
      <c r="D829" s="12"/>
      <c r="E829" s="12"/>
      <c r="F829" s="12"/>
      <c r="G829" s="609"/>
      <c r="H829" s="12"/>
      <c r="I829" s="609"/>
      <c r="J829" s="618"/>
      <c r="K829" s="619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</row>
    <row r="830">
      <c r="A830" s="12"/>
      <c r="B830" s="605"/>
      <c r="C830" s="12"/>
      <c r="D830" s="12"/>
      <c r="E830" s="12"/>
      <c r="F830" s="12"/>
      <c r="G830" s="609"/>
      <c r="H830" s="12"/>
      <c r="I830" s="609"/>
      <c r="J830" s="618"/>
      <c r="K830" s="619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</row>
    <row r="831">
      <c r="A831" s="12"/>
      <c r="B831" s="605"/>
      <c r="C831" s="12"/>
      <c r="D831" s="12"/>
      <c r="E831" s="12"/>
      <c r="F831" s="12"/>
      <c r="G831" s="609"/>
      <c r="H831" s="12"/>
      <c r="I831" s="609"/>
      <c r="J831" s="618"/>
      <c r="K831" s="619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</row>
    <row r="832">
      <c r="A832" s="12"/>
      <c r="B832" s="605"/>
      <c r="C832" s="12"/>
      <c r="D832" s="12"/>
      <c r="E832" s="12"/>
      <c r="F832" s="12"/>
      <c r="G832" s="609"/>
      <c r="H832" s="12"/>
      <c r="I832" s="609"/>
      <c r="J832" s="618"/>
      <c r="K832" s="619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</row>
    <row r="833">
      <c r="A833" s="12"/>
      <c r="B833" s="605"/>
      <c r="C833" s="12"/>
      <c r="D833" s="12"/>
      <c r="E833" s="12"/>
      <c r="F833" s="12"/>
      <c r="G833" s="609"/>
      <c r="H833" s="12"/>
      <c r="I833" s="609"/>
      <c r="J833" s="618"/>
      <c r="K833" s="619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</row>
    <row r="834">
      <c r="A834" s="12"/>
      <c r="B834" s="605"/>
      <c r="C834" s="12"/>
      <c r="D834" s="12"/>
      <c r="E834" s="12"/>
      <c r="F834" s="12"/>
      <c r="G834" s="609"/>
      <c r="H834" s="12"/>
      <c r="I834" s="609"/>
      <c r="J834" s="618"/>
      <c r="K834" s="619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</row>
    <row r="835">
      <c r="A835" s="12"/>
      <c r="B835" s="605"/>
      <c r="C835" s="12"/>
      <c r="D835" s="12"/>
      <c r="E835" s="12"/>
      <c r="F835" s="12"/>
      <c r="G835" s="609"/>
      <c r="H835" s="12"/>
      <c r="I835" s="609"/>
      <c r="J835" s="618"/>
      <c r="K835" s="619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</row>
    <row r="836">
      <c r="A836" s="12"/>
      <c r="B836" s="605"/>
      <c r="C836" s="12"/>
      <c r="D836" s="12"/>
      <c r="E836" s="12"/>
      <c r="F836" s="12"/>
      <c r="G836" s="609"/>
      <c r="H836" s="12"/>
      <c r="I836" s="609"/>
      <c r="J836" s="618"/>
      <c r="K836" s="619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</row>
    <row r="837">
      <c r="A837" s="12"/>
      <c r="B837" s="605"/>
      <c r="C837" s="12"/>
      <c r="D837" s="12"/>
      <c r="E837" s="12"/>
      <c r="F837" s="12"/>
      <c r="G837" s="609"/>
      <c r="H837" s="12"/>
      <c r="I837" s="609"/>
      <c r="J837" s="618"/>
      <c r="K837" s="619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</row>
    <row r="838">
      <c r="A838" s="12"/>
      <c r="B838" s="605"/>
      <c r="C838" s="12"/>
      <c r="D838" s="12"/>
      <c r="E838" s="12"/>
      <c r="F838" s="12"/>
      <c r="G838" s="609"/>
      <c r="H838" s="12"/>
      <c r="I838" s="609"/>
      <c r="J838" s="618"/>
      <c r="K838" s="619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</row>
    <row r="839">
      <c r="A839" s="12"/>
      <c r="B839" s="605"/>
      <c r="C839" s="12"/>
      <c r="D839" s="12"/>
      <c r="E839" s="12"/>
      <c r="F839" s="12"/>
      <c r="G839" s="609"/>
      <c r="H839" s="12"/>
      <c r="I839" s="609"/>
      <c r="J839" s="618"/>
      <c r="K839" s="619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</row>
    <row r="840">
      <c r="A840" s="12"/>
      <c r="B840" s="605"/>
      <c r="C840" s="12"/>
      <c r="D840" s="12"/>
      <c r="E840" s="12"/>
      <c r="F840" s="12"/>
      <c r="G840" s="609"/>
      <c r="H840" s="12"/>
      <c r="I840" s="609"/>
      <c r="J840" s="618"/>
      <c r="K840" s="619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</row>
    <row r="841">
      <c r="A841" s="12"/>
      <c r="B841" s="605"/>
      <c r="C841" s="12"/>
      <c r="D841" s="12"/>
      <c r="E841" s="12"/>
      <c r="F841" s="12"/>
      <c r="G841" s="609"/>
      <c r="H841" s="12"/>
      <c r="I841" s="609"/>
      <c r="J841" s="618"/>
      <c r="K841" s="619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</row>
    <row r="842">
      <c r="A842" s="12"/>
      <c r="B842" s="605"/>
      <c r="C842" s="12"/>
      <c r="D842" s="12"/>
      <c r="E842" s="12"/>
      <c r="F842" s="12"/>
      <c r="G842" s="609"/>
      <c r="H842" s="12"/>
      <c r="I842" s="609"/>
      <c r="J842" s="618"/>
      <c r="K842" s="619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</row>
    <row r="843">
      <c r="A843" s="12"/>
      <c r="B843" s="605"/>
      <c r="C843" s="12"/>
      <c r="D843" s="12"/>
      <c r="E843" s="12"/>
      <c r="F843" s="12"/>
      <c r="G843" s="609"/>
      <c r="H843" s="12"/>
      <c r="I843" s="609"/>
      <c r="J843" s="618"/>
      <c r="K843" s="619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</row>
    <row r="844">
      <c r="A844" s="12"/>
      <c r="B844" s="605"/>
      <c r="C844" s="12"/>
      <c r="D844" s="12"/>
      <c r="E844" s="12"/>
      <c r="F844" s="12"/>
      <c r="G844" s="609"/>
      <c r="H844" s="12"/>
      <c r="I844" s="609"/>
      <c r="J844" s="618"/>
      <c r="K844" s="619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</row>
    <row r="845">
      <c r="A845" s="12"/>
      <c r="B845" s="605"/>
      <c r="C845" s="12"/>
      <c r="D845" s="12"/>
      <c r="E845" s="12"/>
      <c r="F845" s="12"/>
      <c r="G845" s="609"/>
      <c r="H845" s="12"/>
      <c r="I845" s="609"/>
      <c r="J845" s="618"/>
      <c r="K845" s="619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</row>
    <row r="846">
      <c r="A846" s="12"/>
      <c r="B846" s="605"/>
      <c r="C846" s="12"/>
      <c r="D846" s="12"/>
      <c r="E846" s="12"/>
      <c r="F846" s="12"/>
      <c r="G846" s="609"/>
      <c r="H846" s="12"/>
      <c r="I846" s="609"/>
      <c r="J846" s="618"/>
      <c r="K846" s="619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>
      <c r="A847" s="12"/>
      <c r="B847" s="605"/>
      <c r="C847" s="12"/>
      <c r="D847" s="12"/>
      <c r="E847" s="12"/>
      <c r="F847" s="12"/>
      <c r="G847" s="609"/>
      <c r="H847" s="12"/>
      <c r="I847" s="609"/>
      <c r="J847" s="618"/>
      <c r="K847" s="619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</row>
    <row r="848">
      <c r="A848" s="12"/>
      <c r="B848" s="605"/>
      <c r="C848" s="12"/>
      <c r="D848" s="12"/>
      <c r="E848" s="12"/>
      <c r="F848" s="12"/>
      <c r="G848" s="609"/>
      <c r="H848" s="12"/>
      <c r="I848" s="609"/>
      <c r="J848" s="618"/>
      <c r="K848" s="619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</row>
    <row r="849">
      <c r="A849" s="12"/>
      <c r="B849" s="605"/>
      <c r="C849" s="12"/>
      <c r="D849" s="12"/>
      <c r="E849" s="12"/>
      <c r="F849" s="12"/>
      <c r="G849" s="609"/>
      <c r="H849" s="12"/>
      <c r="I849" s="609"/>
      <c r="J849" s="618"/>
      <c r="K849" s="619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</row>
    <row r="850">
      <c r="A850" s="12"/>
      <c r="B850" s="605"/>
      <c r="C850" s="12"/>
      <c r="D850" s="12"/>
      <c r="E850" s="12"/>
      <c r="F850" s="12"/>
      <c r="G850" s="609"/>
      <c r="H850" s="12"/>
      <c r="I850" s="609"/>
      <c r="J850" s="618"/>
      <c r="K850" s="619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</row>
    <row r="851">
      <c r="A851" s="12"/>
      <c r="B851" s="605"/>
      <c r="C851" s="12"/>
      <c r="D851" s="12"/>
      <c r="E851" s="12"/>
      <c r="F851" s="12"/>
      <c r="G851" s="609"/>
      <c r="H851" s="12"/>
      <c r="I851" s="609"/>
      <c r="J851" s="618"/>
      <c r="K851" s="619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</row>
    <row r="852">
      <c r="A852" s="12"/>
      <c r="B852" s="605"/>
      <c r="C852" s="12"/>
      <c r="D852" s="12"/>
      <c r="E852" s="12"/>
      <c r="F852" s="12"/>
      <c r="G852" s="609"/>
      <c r="H852" s="12"/>
      <c r="I852" s="609"/>
      <c r="J852" s="618"/>
      <c r="K852" s="619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</row>
    <row r="853">
      <c r="A853" s="12"/>
      <c r="B853" s="605"/>
      <c r="C853" s="12"/>
      <c r="D853" s="12"/>
      <c r="E853" s="12"/>
      <c r="F853" s="12"/>
      <c r="G853" s="609"/>
      <c r="H853" s="12"/>
      <c r="I853" s="609"/>
      <c r="J853" s="618"/>
      <c r="K853" s="619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</row>
    <row r="854">
      <c r="A854" s="12"/>
      <c r="B854" s="605"/>
      <c r="C854" s="12"/>
      <c r="D854" s="12"/>
      <c r="E854" s="12"/>
      <c r="F854" s="12"/>
      <c r="G854" s="609"/>
      <c r="H854" s="12"/>
      <c r="I854" s="609"/>
      <c r="J854" s="618"/>
      <c r="K854" s="619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</row>
    <row r="855">
      <c r="A855" s="12"/>
      <c r="B855" s="605"/>
      <c r="C855" s="12"/>
      <c r="D855" s="12"/>
      <c r="E855" s="12"/>
      <c r="F855" s="12"/>
      <c r="G855" s="609"/>
      <c r="H855" s="12"/>
      <c r="I855" s="609"/>
      <c r="J855" s="618"/>
      <c r="K855" s="619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</row>
    <row r="856">
      <c r="A856" s="12"/>
      <c r="B856" s="605"/>
      <c r="C856" s="12"/>
      <c r="D856" s="12"/>
      <c r="E856" s="12"/>
      <c r="F856" s="12"/>
      <c r="G856" s="609"/>
      <c r="H856" s="12"/>
      <c r="I856" s="609"/>
      <c r="J856" s="618"/>
      <c r="K856" s="619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</row>
    <row r="857">
      <c r="A857" s="12"/>
      <c r="B857" s="605"/>
      <c r="C857" s="12"/>
      <c r="D857" s="12"/>
      <c r="E857" s="12"/>
      <c r="F857" s="12"/>
      <c r="G857" s="609"/>
      <c r="H857" s="12"/>
      <c r="I857" s="609"/>
      <c r="J857" s="618"/>
      <c r="K857" s="619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</row>
    <row r="858">
      <c r="A858" s="12"/>
      <c r="B858" s="605"/>
      <c r="C858" s="12"/>
      <c r="D858" s="12"/>
      <c r="E858" s="12"/>
      <c r="F858" s="12"/>
      <c r="G858" s="609"/>
      <c r="H858" s="12"/>
      <c r="I858" s="609"/>
      <c r="J858" s="618"/>
      <c r="K858" s="619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</row>
    <row r="859">
      <c r="A859" s="12"/>
      <c r="B859" s="605"/>
      <c r="C859" s="12"/>
      <c r="D859" s="12"/>
      <c r="E859" s="12"/>
      <c r="F859" s="12"/>
      <c r="G859" s="609"/>
      <c r="H859" s="12"/>
      <c r="I859" s="609"/>
      <c r="J859" s="618"/>
      <c r="K859" s="619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</row>
    <row r="860">
      <c r="A860" s="12"/>
      <c r="B860" s="605"/>
      <c r="C860" s="12"/>
      <c r="D860" s="12"/>
      <c r="E860" s="12"/>
      <c r="F860" s="12"/>
      <c r="G860" s="609"/>
      <c r="H860" s="12"/>
      <c r="I860" s="609"/>
      <c r="J860" s="618"/>
      <c r="K860" s="619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</row>
    <row r="861">
      <c r="A861" s="12"/>
      <c r="B861" s="605"/>
      <c r="C861" s="12"/>
      <c r="D861" s="12"/>
      <c r="E861" s="12"/>
      <c r="F861" s="12"/>
      <c r="G861" s="609"/>
      <c r="H861" s="12"/>
      <c r="I861" s="609"/>
      <c r="J861" s="618"/>
      <c r="K861" s="619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</row>
    <row r="862">
      <c r="A862" s="12"/>
      <c r="B862" s="605"/>
      <c r="C862" s="12"/>
      <c r="D862" s="12"/>
      <c r="E862" s="12"/>
      <c r="F862" s="12"/>
      <c r="G862" s="609"/>
      <c r="H862" s="12"/>
      <c r="I862" s="609"/>
      <c r="J862" s="618"/>
      <c r="K862" s="619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</row>
    <row r="863">
      <c r="A863" s="12"/>
      <c r="B863" s="605"/>
      <c r="C863" s="12"/>
      <c r="D863" s="12"/>
      <c r="E863" s="12"/>
      <c r="F863" s="12"/>
      <c r="G863" s="609"/>
      <c r="H863" s="12"/>
      <c r="I863" s="609"/>
      <c r="J863" s="618"/>
      <c r="K863" s="619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</row>
    <row r="864">
      <c r="A864" s="12"/>
      <c r="B864" s="605"/>
      <c r="C864" s="12"/>
      <c r="D864" s="12"/>
      <c r="E864" s="12"/>
      <c r="F864" s="12"/>
      <c r="G864" s="609"/>
      <c r="H864" s="12"/>
      <c r="I864" s="609"/>
      <c r="J864" s="618"/>
      <c r="K864" s="619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>
      <c r="A865" s="12"/>
      <c r="B865" s="605"/>
      <c r="C865" s="12"/>
      <c r="D865" s="12"/>
      <c r="E865" s="12"/>
      <c r="F865" s="12"/>
      <c r="G865" s="609"/>
      <c r="H865" s="12"/>
      <c r="I865" s="609"/>
      <c r="J865" s="618"/>
      <c r="K865" s="619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</row>
    <row r="866">
      <c r="A866" s="12"/>
      <c r="B866" s="605"/>
      <c r="C866" s="12"/>
      <c r="D866" s="12"/>
      <c r="E866" s="12"/>
      <c r="F866" s="12"/>
      <c r="G866" s="609"/>
      <c r="H866" s="12"/>
      <c r="I866" s="609"/>
      <c r="J866" s="618"/>
      <c r="K866" s="619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</row>
    <row r="867">
      <c r="A867" s="12"/>
      <c r="B867" s="605"/>
      <c r="C867" s="12"/>
      <c r="D867" s="12"/>
      <c r="E867" s="12"/>
      <c r="F867" s="12"/>
      <c r="G867" s="609"/>
      <c r="H867" s="12"/>
      <c r="I867" s="609"/>
      <c r="J867" s="618"/>
      <c r="K867" s="619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</row>
    <row r="868">
      <c r="A868" s="12"/>
      <c r="B868" s="605"/>
      <c r="C868" s="12"/>
      <c r="D868" s="12"/>
      <c r="E868" s="12"/>
      <c r="F868" s="12"/>
      <c r="G868" s="609"/>
      <c r="H868" s="12"/>
      <c r="I868" s="609"/>
      <c r="J868" s="618"/>
      <c r="K868" s="619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</row>
    <row r="869">
      <c r="A869" s="12"/>
      <c r="B869" s="605"/>
      <c r="C869" s="12"/>
      <c r="D869" s="12"/>
      <c r="E869" s="12"/>
      <c r="F869" s="12"/>
      <c r="G869" s="609"/>
      <c r="H869" s="12"/>
      <c r="I869" s="609"/>
      <c r="J869" s="618"/>
      <c r="K869" s="619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</row>
    <row r="870">
      <c r="A870" s="12"/>
      <c r="B870" s="605"/>
      <c r="C870" s="12"/>
      <c r="D870" s="12"/>
      <c r="E870" s="12"/>
      <c r="F870" s="12"/>
      <c r="G870" s="609"/>
      <c r="H870" s="12"/>
      <c r="I870" s="609"/>
      <c r="J870" s="618"/>
      <c r="K870" s="619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</row>
    <row r="871">
      <c r="A871" s="12"/>
      <c r="B871" s="605"/>
      <c r="C871" s="12"/>
      <c r="D871" s="12"/>
      <c r="E871" s="12"/>
      <c r="F871" s="12"/>
      <c r="G871" s="609"/>
      <c r="H871" s="12"/>
      <c r="I871" s="609"/>
      <c r="J871" s="618"/>
      <c r="K871" s="619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</row>
    <row r="872">
      <c r="A872" s="12"/>
      <c r="B872" s="605"/>
      <c r="C872" s="12"/>
      <c r="D872" s="12"/>
      <c r="E872" s="12"/>
      <c r="F872" s="12"/>
      <c r="G872" s="609"/>
      <c r="H872" s="12"/>
      <c r="I872" s="609"/>
      <c r="J872" s="618"/>
      <c r="K872" s="619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</row>
    <row r="873">
      <c r="A873" s="12"/>
      <c r="B873" s="605"/>
      <c r="C873" s="12"/>
      <c r="D873" s="12"/>
      <c r="E873" s="12"/>
      <c r="F873" s="12"/>
      <c r="G873" s="609"/>
      <c r="H873" s="12"/>
      <c r="I873" s="609"/>
      <c r="J873" s="618"/>
      <c r="K873" s="619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</row>
    <row r="874">
      <c r="A874" s="12"/>
      <c r="B874" s="605"/>
      <c r="C874" s="12"/>
      <c r="D874" s="12"/>
      <c r="E874" s="12"/>
      <c r="F874" s="12"/>
      <c r="G874" s="609"/>
      <c r="H874" s="12"/>
      <c r="I874" s="609"/>
      <c r="J874" s="618"/>
      <c r="K874" s="619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</row>
    <row r="875">
      <c r="A875" s="12"/>
      <c r="B875" s="605"/>
      <c r="C875" s="12"/>
      <c r="D875" s="12"/>
      <c r="E875" s="12"/>
      <c r="F875" s="12"/>
      <c r="G875" s="609"/>
      <c r="H875" s="12"/>
      <c r="I875" s="609"/>
      <c r="J875" s="618"/>
      <c r="K875" s="619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</row>
    <row r="876">
      <c r="A876" s="12"/>
      <c r="B876" s="605"/>
      <c r="C876" s="12"/>
      <c r="D876" s="12"/>
      <c r="E876" s="12"/>
      <c r="F876" s="12"/>
      <c r="G876" s="609"/>
      <c r="H876" s="12"/>
      <c r="I876" s="609"/>
      <c r="J876" s="618"/>
      <c r="K876" s="619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</row>
    <row r="877">
      <c r="A877" s="12"/>
      <c r="B877" s="605"/>
      <c r="C877" s="12"/>
      <c r="D877" s="12"/>
      <c r="E877" s="12"/>
      <c r="F877" s="12"/>
      <c r="G877" s="609"/>
      <c r="H877" s="12"/>
      <c r="I877" s="609"/>
      <c r="J877" s="618"/>
      <c r="K877" s="619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</row>
    <row r="878">
      <c r="A878" s="12"/>
      <c r="B878" s="605"/>
      <c r="C878" s="12"/>
      <c r="D878" s="12"/>
      <c r="E878" s="12"/>
      <c r="F878" s="12"/>
      <c r="G878" s="609"/>
      <c r="H878" s="12"/>
      <c r="I878" s="609"/>
      <c r="J878" s="618"/>
      <c r="K878" s="619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</row>
    <row r="879">
      <c r="A879" s="12"/>
      <c r="B879" s="605"/>
      <c r="C879" s="12"/>
      <c r="D879" s="12"/>
      <c r="E879" s="12"/>
      <c r="F879" s="12"/>
      <c r="G879" s="609"/>
      <c r="H879" s="12"/>
      <c r="I879" s="609"/>
      <c r="J879" s="618"/>
      <c r="K879" s="619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</row>
    <row r="880">
      <c r="A880" s="12"/>
      <c r="B880" s="605"/>
      <c r="C880" s="12"/>
      <c r="D880" s="12"/>
      <c r="E880" s="12"/>
      <c r="F880" s="12"/>
      <c r="G880" s="609"/>
      <c r="H880" s="12"/>
      <c r="I880" s="609"/>
      <c r="J880" s="618"/>
      <c r="K880" s="619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</row>
    <row r="881">
      <c r="A881" s="12"/>
      <c r="B881" s="605"/>
      <c r="C881" s="12"/>
      <c r="D881" s="12"/>
      <c r="E881" s="12"/>
      <c r="F881" s="12"/>
      <c r="G881" s="609"/>
      <c r="H881" s="12"/>
      <c r="I881" s="609"/>
      <c r="J881" s="618"/>
      <c r="K881" s="619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</row>
    <row r="882">
      <c r="A882" s="12"/>
      <c r="B882" s="605"/>
      <c r="C882" s="12"/>
      <c r="D882" s="12"/>
      <c r="E882" s="12"/>
      <c r="F882" s="12"/>
      <c r="G882" s="609"/>
      <c r="H882" s="12"/>
      <c r="I882" s="609"/>
      <c r="J882" s="618"/>
      <c r="K882" s="619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>
      <c r="A883" s="12"/>
      <c r="B883" s="605"/>
      <c r="C883" s="12"/>
      <c r="D883" s="12"/>
      <c r="E883" s="12"/>
      <c r="F883" s="12"/>
      <c r="G883" s="609"/>
      <c r="H883" s="12"/>
      <c r="I883" s="609"/>
      <c r="J883" s="618"/>
      <c r="K883" s="619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</row>
    <row r="884">
      <c r="A884" s="12"/>
      <c r="B884" s="605"/>
      <c r="C884" s="12"/>
      <c r="D884" s="12"/>
      <c r="E884" s="12"/>
      <c r="F884" s="12"/>
      <c r="G884" s="609"/>
      <c r="H884" s="12"/>
      <c r="I884" s="609"/>
      <c r="J884" s="618"/>
      <c r="K884" s="619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</row>
    <row r="885">
      <c r="A885" s="12"/>
      <c r="B885" s="605"/>
      <c r="C885" s="12"/>
      <c r="D885" s="12"/>
      <c r="E885" s="12"/>
      <c r="F885" s="12"/>
      <c r="G885" s="609"/>
      <c r="H885" s="12"/>
      <c r="I885" s="609"/>
      <c r="J885" s="618"/>
      <c r="K885" s="619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</row>
    <row r="886">
      <c r="A886" s="12"/>
      <c r="B886" s="605"/>
      <c r="C886" s="12"/>
      <c r="D886" s="12"/>
      <c r="E886" s="12"/>
      <c r="F886" s="12"/>
      <c r="G886" s="609"/>
      <c r="H886" s="12"/>
      <c r="I886" s="609"/>
      <c r="J886" s="618"/>
      <c r="K886" s="619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</row>
    <row r="887">
      <c r="A887" s="12"/>
      <c r="B887" s="605"/>
      <c r="C887" s="12"/>
      <c r="D887" s="12"/>
      <c r="E887" s="12"/>
      <c r="F887" s="12"/>
      <c r="G887" s="609"/>
      <c r="H887" s="12"/>
      <c r="I887" s="609"/>
      <c r="J887" s="618"/>
      <c r="K887" s="619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</row>
    <row r="888">
      <c r="A888" s="12"/>
      <c r="B888" s="605"/>
      <c r="C888" s="12"/>
      <c r="D888" s="12"/>
      <c r="E888" s="12"/>
      <c r="F888" s="12"/>
      <c r="G888" s="609"/>
      <c r="H888" s="12"/>
      <c r="I888" s="609"/>
      <c r="J888" s="618"/>
      <c r="K888" s="619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</row>
    <row r="889">
      <c r="A889" s="12"/>
      <c r="B889" s="605"/>
      <c r="C889" s="12"/>
      <c r="D889" s="12"/>
      <c r="E889" s="12"/>
      <c r="F889" s="12"/>
      <c r="G889" s="609"/>
      <c r="H889" s="12"/>
      <c r="I889" s="609"/>
      <c r="J889" s="618"/>
      <c r="K889" s="619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</row>
    <row r="890">
      <c r="A890" s="12"/>
      <c r="B890" s="605"/>
      <c r="C890" s="12"/>
      <c r="D890" s="12"/>
      <c r="E890" s="12"/>
      <c r="F890" s="12"/>
      <c r="G890" s="609"/>
      <c r="H890" s="12"/>
      <c r="I890" s="609"/>
      <c r="J890" s="618"/>
      <c r="K890" s="619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</row>
    <row r="891">
      <c r="A891" s="12"/>
      <c r="B891" s="605"/>
      <c r="C891" s="12"/>
      <c r="D891" s="12"/>
      <c r="E891" s="12"/>
      <c r="F891" s="12"/>
      <c r="G891" s="609"/>
      <c r="H891" s="12"/>
      <c r="I891" s="609"/>
      <c r="J891" s="618"/>
      <c r="K891" s="619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</row>
    <row r="892">
      <c r="A892" s="12"/>
      <c r="B892" s="605"/>
      <c r="C892" s="12"/>
      <c r="D892" s="12"/>
      <c r="E892" s="12"/>
      <c r="F892" s="12"/>
      <c r="G892" s="609"/>
      <c r="H892" s="12"/>
      <c r="I892" s="609"/>
      <c r="J892" s="618"/>
      <c r="K892" s="619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</row>
    <row r="893">
      <c r="A893" s="12"/>
      <c r="B893" s="605"/>
      <c r="C893" s="12"/>
      <c r="D893" s="12"/>
      <c r="E893" s="12"/>
      <c r="F893" s="12"/>
      <c r="G893" s="609"/>
      <c r="H893" s="12"/>
      <c r="I893" s="609"/>
      <c r="J893" s="618"/>
      <c r="K893" s="619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</row>
    <row r="894">
      <c r="A894" s="12"/>
      <c r="B894" s="605"/>
      <c r="C894" s="12"/>
      <c r="D894" s="12"/>
      <c r="E894" s="12"/>
      <c r="F894" s="12"/>
      <c r="G894" s="609"/>
      <c r="H894" s="12"/>
      <c r="I894" s="609"/>
      <c r="J894" s="618"/>
      <c r="K894" s="619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</row>
    <row r="895">
      <c r="A895" s="12"/>
      <c r="B895" s="605"/>
      <c r="C895" s="12"/>
      <c r="D895" s="12"/>
      <c r="E895" s="12"/>
      <c r="F895" s="12"/>
      <c r="G895" s="609"/>
      <c r="H895" s="12"/>
      <c r="I895" s="609"/>
      <c r="J895" s="618"/>
      <c r="K895" s="619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</row>
    <row r="896">
      <c r="A896" s="12"/>
      <c r="B896" s="605"/>
      <c r="C896" s="12"/>
      <c r="D896" s="12"/>
      <c r="E896" s="12"/>
      <c r="F896" s="12"/>
      <c r="G896" s="609"/>
      <c r="H896" s="12"/>
      <c r="I896" s="609"/>
      <c r="J896" s="618"/>
      <c r="K896" s="619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</row>
    <row r="897">
      <c r="A897" s="12"/>
      <c r="B897" s="605"/>
      <c r="C897" s="12"/>
      <c r="D897" s="12"/>
      <c r="E897" s="12"/>
      <c r="F897" s="12"/>
      <c r="G897" s="609"/>
      <c r="H897" s="12"/>
      <c r="I897" s="609"/>
      <c r="J897" s="618"/>
      <c r="K897" s="619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</row>
    <row r="898">
      <c r="A898" s="12"/>
      <c r="B898" s="605"/>
      <c r="C898" s="12"/>
      <c r="D898" s="12"/>
      <c r="E898" s="12"/>
      <c r="F898" s="12"/>
      <c r="G898" s="609"/>
      <c r="H898" s="12"/>
      <c r="I898" s="609"/>
      <c r="J898" s="618"/>
      <c r="K898" s="619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</row>
    <row r="899">
      <c r="A899" s="12"/>
      <c r="B899" s="605"/>
      <c r="C899" s="12"/>
      <c r="D899" s="12"/>
      <c r="E899" s="12"/>
      <c r="F899" s="12"/>
      <c r="G899" s="609"/>
      <c r="H899" s="12"/>
      <c r="I899" s="609"/>
      <c r="J899" s="618"/>
      <c r="K899" s="619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</row>
    <row r="900">
      <c r="A900" s="12"/>
      <c r="B900" s="605"/>
      <c r="C900" s="12"/>
      <c r="D900" s="12"/>
      <c r="E900" s="12"/>
      <c r="F900" s="12"/>
      <c r="G900" s="609"/>
      <c r="H900" s="12"/>
      <c r="I900" s="609"/>
      <c r="J900" s="618"/>
      <c r="K900" s="619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>
      <c r="A901" s="12"/>
      <c r="B901" s="605"/>
      <c r="C901" s="12"/>
      <c r="D901" s="12"/>
      <c r="E901" s="12"/>
      <c r="F901" s="12"/>
      <c r="G901" s="609"/>
      <c r="H901" s="12"/>
      <c r="I901" s="609"/>
      <c r="J901" s="618"/>
      <c r="K901" s="619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</row>
    <row r="902">
      <c r="A902" s="12"/>
      <c r="B902" s="605"/>
      <c r="C902" s="12"/>
      <c r="D902" s="12"/>
      <c r="E902" s="12"/>
      <c r="F902" s="12"/>
      <c r="G902" s="609"/>
      <c r="H902" s="12"/>
      <c r="I902" s="609"/>
      <c r="J902" s="618"/>
      <c r="K902" s="619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</row>
    <row r="903">
      <c r="A903" s="12"/>
      <c r="B903" s="605"/>
      <c r="C903" s="12"/>
      <c r="D903" s="12"/>
      <c r="E903" s="12"/>
      <c r="F903" s="12"/>
      <c r="G903" s="609"/>
      <c r="H903" s="12"/>
      <c r="I903" s="609"/>
      <c r="J903" s="618"/>
      <c r="K903" s="619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</row>
    <row r="904">
      <c r="A904" s="12"/>
      <c r="B904" s="605"/>
      <c r="C904" s="12"/>
      <c r="D904" s="12"/>
      <c r="E904" s="12"/>
      <c r="F904" s="12"/>
      <c r="G904" s="609"/>
      <c r="H904" s="12"/>
      <c r="I904" s="609"/>
      <c r="J904" s="618"/>
      <c r="K904" s="619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</row>
    <row r="905">
      <c r="A905" s="12"/>
      <c r="B905" s="605"/>
      <c r="C905" s="12"/>
      <c r="D905" s="12"/>
      <c r="E905" s="12"/>
      <c r="F905" s="12"/>
      <c r="G905" s="609"/>
      <c r="H905" s="12"/>
      <c r="I905" s="609"/>
      <c r="J905" s="618"/>
      <c r="K905" s="619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</row>
    <row r="906">
      <c r="A906" s="12"/>
      <c r="B906" s="605"/>
      <c r="C906" s="12"/>
      <c r="D906" s="12"/>
      <c r="E906" s="12"/>
      <c r="F906" s="12"/>
      <c r="G906" s="609"/>
      <c r="H906" s="12"/>
      <c r="I906" s="609"/>
      <c r="J906" s="618"/>
      <c r="K906" s="619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</row>
    <row r="907">
      <c r="A907" s="12"/>
      <c r="B907" s="605"/>
      <c r="C907" s="12"/>
      <c r="D907" s="12"/>
      <c r="E907" s="12"/>
      <c r="F907" s="12"/>
      <c r="G907" s="609"/>
      <c r="H907" s="12"/>
      <c r="I907" s="609"/>
      <c r="J907" s="618"/>
      <c r="K907" s="619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</row>
    <row r="908">
      <c r="A908" s="12"/>
      <c r="B908" s="605"/>
      <c r="C908" s="12"/>
      <c r="D908" s="12"/>
      <c r="E908" s="12"/>
      <c r="F908" s="12"/>
      <c r="G908" s="609"/>
      <c r="H908" s="12"/>
      <c r="I908" s="609"/>
      <c r="J908" s="618"/>
      <c r="K908" s="619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</row>
    <row r="909">
      <c r="A909" s="12"/>
      <c r="B909" s="605"/>
      <c r="C909" s="12"/>
      <c r="D909" s="12"/>
      <c r="E909" s="12"/>
      <c r="F909" s="12"/>
      <c r="G909" s="609"/>
      <c r="H909" s="12"/>
      <c r="I909" s="609"/>
      <c r="J909" s="618"/>
      <c r="K909" s="619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</row>
    <row r="910">
      <c r="A910" s="12"/>
      <c r="B910" s="605"/>
      <c r="C910" s="12"/>
      <c r="D910" s="12"/>
      <c r="E910" s="12"/>
      <c r="F910" s="12"/>
      <c r="G910" s="609"/>
      <c r="H910" s="12"/>
      <c r="I910" s="609"/>
      <c r="J910" s="618"/>
      <c r="K910" s="619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</row>
    <row r="911">
      <c r="A911" s="12"/>
      <c r="B911" s="605"/>
      <c r="C911" s="12"/>
      <c r="D911" s="12"/>
      <c r="E911" s="12"/>
      <c r="F911" s="12"/>
      <c r="G911" s="609"/>
      <c r="H911" s="12"/>
      <c r="I911" s="609"/>
      <c r="J911" s="618"/>
      <c r="K911" s="619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</row>
    <row r="912">
      <c r="A912" s="12"/>
      <c r="B912" s="605"/>
      <c r="C912" s="12"/>
      <c r="D912" s="12"/>
      <c r="E912" s="12"/>
      <c r="F912" s="12"/>
      <c r="G912" s="609"/>
      <c r="H912" s="12"/>
      <c r="I912" s="609"/>
      <c r="J912" s="618"/>
      <c r="K912" s="619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</row>
    <row r="913">
      <c r="A913" s="12"/>
      <c r="B913" s="605"/>
      <c r="C913" s="12"/>
      <c r="D913" s="12"/>
      <c r="E913" s="12"/>
      <c r="F913" s="12"/>
      <c r="G913" s="609"/>
      <c r="H913" s="12"/>
      <c r="I913" s="609"/>
      <c r="J913" s="618"/>
      <c r="K913" s="619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</row>
    <row r="914">
      <c r="A914" s="12"/>
      <c r="B914" s="605"/>
      <c r="C914" s="12"/>
      <c r="D914" s="12"/>
      <c r="E914" s="12"/>
      <c r="F914" s="12"/>
      <c r="G914" s="609"/>
      <c r="H914" s="12"/>
      <c r="I914" s="609"/>
      <c r="J914" s="618"/>
      <c r="K914" s="619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</row>
    <row r="915">
      <c r="A915" s="12"/>
      <c r="B915" s="605"/>
      <c r="C915" s="12"/>
      <c r="D915" s="12"/>
      <c r="E915" s="12"/>
      <c r="F915" s="12"/>
      <c r="G915" s="609"/>
      <c r="H915" s="12"/>
      <c r="I915" s="609"/>
      <c r="J915" s="618"/>
      <c r="K915" s="619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</row>
    <row r="916">
      <c r="A916" s="12"/>
      <c r="B916" s="605"/>
      <c r="C916" s="12"/>
      <c r="D916" s="12"/>
      <c r="E916" s="12"/>
      <c r="F916" s="12"/>
      <c r="G916" s="609"/>
      <c r="H916" s="12"/>
      <c r="I916" s="609"/>
      <c r="J916" s="618"/>
      <c r="K916" s="619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</row>
    <row r="917">
      <c r="A917" s="12"/>
      <c r="B917" s="605"/>
      <c r="C917" s="12"/>
      <c r="D917" s="12"/>
      <c r="E917" s="12"/>
      <c r="F917" s="12"/>
      <c r="G917" s="609"/>
      <c r="H917" s="12"/>
      <c r="I917" s="609"/>
      <c r="J917" s="618"/>
      <c r="K917" s="619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</row>
    <row r="918">
      <c r="A918" s="12"/>
      <c r="B918" s="605"/>
      <c r="C918" s="12"/>
      <c r="D918" s="12"/>
      <c r="E918" s="12"/>
      <c r="F918" s="12"/>
      <c r="G918" s="609"/>
      <c r="H918" s="12"/>
      <c r="I918" s="609"/>
      <c r="J918" s="618"/>
      <c r="K918" s="619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</row>
    <row r="919">
      <c r="A919" s="12"/>
      <c r="B919" s="605"/>
      <c r="C919" s="12"/>
      <c r="D919" s="12"/>
      <c r="E919" s="12"/>
      <c r="F919" s="12"/>
      <c r="G919" s="609"/>
      <c r="H919" s="12"/>
      <c r="I919" s="609"/>
      <c r="J919" s="618"/>
      <c r="K919" s="619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</row>
    <row r="920">
      <c r="A920" s="12"/>
      <c r="B920" s="605"/>
      <c r="C920" s="12"/>
      <c r="D920" s="12"/>
      <c r="E920" s="12"/>
      <c r="F920" s="12"/>
      <c r="G920" s="609"/>
      <c r="H920" s="12"/>
      <c r="I920" s="609"/>
      <c r="J920" s="618"/>
      <c r="K920" s="619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</row>
    <row r="921">
      <c r="A921" s="12"/>
      <c r="B921" s="605"/>
      <c r="C921" s="12"/>
      <c r="D921" s="12"/>
      <c r="E921" s="12"/>
      <c r="F921" s="12"/>
      <c r="G921" s="609"/>
      <c r="H921" s="12"/>
      <c r="I921" s="609"/>
      <c r="J921" s="618"/>
      <c r="K921" s="619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</row>
    <row r="922">
      <c r="A922" s="12"/>
      <c r="B922" s="605"/>
      <c r="C922" s="12"/>
      <c r="D922" s="12"/>
      <c r="E922" s="12"/>
      <c r="F922" s="12"/>
      <c r="G922" s="609"/>
      <c r="H922" s="12"/>
      <c r="I922" s="609"/>
      <c r="J922" s="618"/>
      <c r="K922" s="619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</row>
    <row r="923">
      <c r="A923" s="12"/>
      <c r="B923" s="605"/>
      <c r="C923" s="12"/>
      <c r="D923" s="12"/>
      <c r="E923" s="12"/>
      <c r="F923" s="12"/>
      <c r="G923" s="609"/>
      <c r="H923" s="12"/>
      <c r="I923" s="609"/>
      <c r="J923" s="618"/>
      <c r="K923" s="619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</row>
    <row r="924">
      <c r="A924" s="12"/>
      <c r="B924" s="605"/>
      <c r="C924" s="12"/>
      <c r="D924" s="12"/>
      <c r="E924" s="12"/>
      <c r="F924" s="12"/>
      <c r="G924" s="609"/>
      <c r="H924" s="12"/>
      <c r="I924" s="609"/>
      <c r="J924" s="618"/>
      <c r="K924" s="619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</row>
    <row r="925">
      <c r="A925" s="12"/>
      <c r="B925" s="605"/>
      <c r="C925" s="12"/>
      <c r="D925" s="12"/>
      <c r="E925" s="12"/>
      <c r="F925" s="12"/>
      <c r="G925" s="609"/>
      <c r="H925" s="12"/>
      <c r="I925" s="609"/>
      <c r="J925" s="618"/>
      <c r="K925" s="619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</row>
    <row r="926">
      <c r="A926" s="12"/>
      <c r="B926" s="605"/>
      <c r="C926" s="12"/>
      <c r="D926" s="12"/>
      <c r="E926" s="12"/>
      <c r="F926" s="12"/>
      <c r="G926" s="609"/>
      <c r="H926" s="12"/>
      <c r="I926" s="609"/>
      <c r="J926" s="618"/>
      <c r="K926" s="619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</row>
    <row r="927">
      <c r="A927" s="12"/>
      <c r="B927" s="605"/>
      <c r="C927" s="12"/>
      <c r="D927" s="12"/>
      <c r="E927" s="12"/>
      <c r="F927" s="12"/>
      <c r="G927" s="609"/>
      <c r="H927" s="12"/>
      <c r="I927" s="609"/>
      <c r="J927" s="618"/>
      <c r="K927" s="619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</row>
    <row r="928">
      <c r="A928" s="12"/>
      <c r="B928" s="605"/>
      <c r="C928" s="12"/>
      <c r="D928" s="12"/>
      <c r="E928" s="12"/>
      <c r="F928" s="12"/>
      <c r="G928" s="609"/>
      <c r="H928" s="12"/>
      <c r="I928" s="609"/>
      <c r="J928" s="618"/>
      <c r="K928" s="619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</row>
    <row r="929">
      <c r="A929" s="12"/>
      <c r="B929" s="605"/>
      <c r="C929" s="12"/>
      <c r="D929" s="12"/>
      <c r="E929" s="12"/>
      <c r="F929" s="12"/>
      <c r="G929" s="609"/>
      <c r="H929" s="12"/>
      <c r="I929" s="609"/>
      <c r="J929" s="618"/>
      <c r="K929" s="619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</row>
    <row r="930">
      <c r="A930" s="12"/>
      <c r="B930" s="605"/>
      <c r="C930" s="12"/>
      <c r="D930" s="12"/>
      <c r="E930" s="12"/>
      <c r="F930" s="12"/>
      <c r="G930" s="609"/>
      <c r="H930" s="12"/>
      <c r="I930" s="609"/>
      <c r="J930" s="618"/>
      <c r="K930" s="619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</row>
    <row r="931">
      <c r="A931" s="12"/>
      <c r="B931" s="605"/>
      <c r="C931" s="12"/>
      <c r="D931" s="12"/>
      <c r="E931" s="12"/>
      <c r="F931" s="12"/>
      <c r="G931" s="609"/>
      <c r="H931" s="12"/>
      <c r="I931" s="609"/>
      <c r="J931" s="618"/>
      <c r="K931" s="619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</row>
    <row r="932">
      <c r="A932" s="12"/>
      <c r="B932" s="605"/>
      <c r="C932" s="12"/>
      <c r="D932" s="12"/>
      <c r="E932" s="12"/>
      <c r="F932" s="12"/>
      <c r="G932" s="609"/>
      <c r="H932" s="12"/>
      <c r="I932" s="609"/>
      <c r="J932" s="618"/>
      <c r="K932" s="619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</row>
    <row r="933">
      <c r="A933" s="12"/>
      <c r="B933" s="605"/>
      <c r="C933" s="12"/>
      <c r="D933" s="12"/>
      <c r="E933" s="12"/>
      <c r="F933" s="12"/>
      <c r="G933" s="609"/>
      <c r="H933" s="12"/>
      <c r="I933" s="609"/>
      <c r="J933" s="618"/>
      <c r="K933" s="619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</row>
    <row r="934">
      <c r="A934" s="12"/>
      <c r="B934" s="605"/>
      <c r="C934" s="12"/>
      <c r="D934" s="12"/>
      <c r="E934" s="12"/>
      <c r="F934" s="12"/>
      <c r="G934" s="609"/>
      <c r="H934" s="12"/>
      <c r="I934" s="609"/>
      <c r="J934" s="618"/>
      <c r="K934" s="619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</row>
    <row r="935">
      <c r="A935" s="12"/>
      <c r="B935" s="605"/>
      <c r="C935" s="12"/>
      <c r="D935" s="12"/>
      <c r="E935" s="12"/>
      <c r="F935" s="12"/>
      <c r="G935" s="609"/>
      <c r="H935" s="12"/>
      <c r="I935" s="609"/>
      <c r="J935" s="618"/>
      <c r="K935" s="619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</row>
    <row r="936">
      <c r="A936" s="12"/>
      <c r="B936" s="605"/>
      <c r="C936" s="12"/>
      <c r="D936" s="12"/>
      <c r="E936" s="12"/>
      <c r="F936" s="12"/>
      <c r="G936" s="609"/>
      <c r="H936" s="12"/>
      <c r="I936" s="609"/>
      <c r="J936" s="618"/>
      <c r="K936" s="619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</row>
    <row r="937">
      <c r="A937" s="12"/>
      <c r="B937" s="605"/>
      <c r="C937" s="12"/>
      <c r="D937" s="12"/>
      <c r="E937" s="12"/>
      <c r="F937" s="12"/>
      <c r="G937" s="609"/>
      <c r="H937" s="12"/>
      <c r="I937" s="609"/>
      <c r="J937" s="618"/>
      <c r="K937" s="619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</row>
    <row r="938">
      <c r="A938" s="12"/>
      <c r="B938" s="605"/>
      <c r="C938" s="12"/>
      <c r="D938" s="12"/>
      <c r="E938" s="12"/>
      <c r="F938" s="12"/>
      <c r="G938" s="609"/>
      <c r="H938" s="12"/>
      <c r="I938" s="609"/>
      <c r="J938" s="618"/>
      <c r="K938" s="619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</row>
    <row r="939">
      <c r="A939" s="12"/>
      <c r="B939" s="605"/>
      <c r="C939" s="12"/>
      <c r="D939" s="12"/>
      <c r="E939" s="12"/>
      <c r="F939" s="12"/>
      <c r="G939" s="609"/>
      <c r="H939" s="12"/>
      <c r="I939" s="609"/>
      <c r="J939" s="618"/>
      <c r="K939" s="619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</row>
    <row r="940">
      <c r="A940" s="12"/>
      <c r="B940" s="605"/>
      <c r="C940" s="12"/>
      <c r="D940" s="12"/>
      <c r="E940" s="12"/>
      <c r="F940" s="12"/>
      <c r="G940" s="609"/>
      <c r="H940" s="12"/>
      <c r="I940" s="609"/>
      <c r="J940" s="618"/>
      <c r="K940" s="619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</row>
    <row r="941">
      <c r="A941" s="12"/>
      <c r="B941" s="605"/>
      <c r="C941" s="12"/>
      <c r="D941" s="12"/>
      <c r="E941" s="12"/>
      <c r="F941" s="12"/>
      <c r="G941" s="609"/>
      <c r="H941" s="12"/>
      <c r="I941" s="609"/>
      <c r="J941" s="618"/>
      <c r="K941" s="619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</row>
    <row r="942">
      <c r="A942" s="12"/>
      <c r="B942" s="605"/>
      <c r="C942" s="12"/>
      <c r="D942" s="12"/>
      <c r="E942" s="12"/>
      <c r="F942" s="12"/>
      <c r="G942" s="609"/>
      <c r="H942" s="12"/>
      <c r="I942" s="609"/>
      <c r="J942" s="618"/>
      <c r="K942" s="619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</row>
    <row r="943">
      <c r="A943" s="12"/>
      <c r="B943" s="605"/>
      <c r="C943" s="12"/>
      <c r="D943" s="12"/>
      <c r="E943" s="12"/>
      <c r="F943" s="12"/>
      <c r="G943" s="609"/>
      <c r="H943" s="12"/>
      <c r="I943" s="609"/>
      <c r="J943" s="618"/>
      <c r="K943" s="619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</row>
    <row r="944">
      <c r="A944" s="12"/>
      <c r="B944" s="605"/>
      <c r="C944" s="12"/>
      <c r="D944" s="12"/>
      <c r="E944" s="12"/>
      <c r="F944" s="12"/>
      <c r="G944" s="609"/>
      <c r="H944" s="12"/>
      <c r="I944" s="609"/>
      <c r="J944" s="618"/>
      <c r="K944" s="619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</row>
    <row r="945">
      <c r="A945" s="12"/>
      <c r="B945" s="605"/>
      <c r="C945" s="12"/>
      <c r="D945" s="12"/>
      <c r="E945" s="12"/>
      <c r="F945" s="12"/>
      <c r="G945" s="609"/>
      <c r="H945" s="12"/>
      <c r="I945" s="609"/>
      <c r="J945" s="618"/>
      <c r="K945" s="619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</row>
    <row r="946">
      <c r="A946" s="12"/>
      <c r="B946" s="605"/>
      <c r="C946" s="12"/>
      <c r="D946" s="12"/>
      <c r="E946" s="12"/>
      <c r="F946" s="12"/>
      <c r="G946" s="609"/>
      <c r="H946" s="12"/>
      <c r="I946" s="609"/>
      <c r="J946" s="618"/>
      <c r="K946" s="619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</row>
    <row r="947">
      <c r="A947" s="12"/>
      <c r="B947" s="605"/>
      <c r="C947" s="12"/>
      <c r="D947" s="12"/>
      <c r="E947" s="12"/>
      <c r="F947" s="12"/>
      <c r="G947" s="609"/>
      <c r="H947" s="12"/>
      <c r="I947" s="609"/>
      <c r="J947" s="618"/>
      <c r="K947" s="619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</row>
    <row r="948">
      <c r="A948" s="12"/>
      <c r="B948" s="605"/>
      <c r="C948" s="12"/>
      <c r="D948" s="12"/>
      <c r="E948" s="12"/>
      <c r="F948" s="12"/>
      <c r="G948" s="609"/>
      <c r="H948" s="12"/>
      <c r="I948" s="609"/>
      <c r="J948" s="618"/>
      <c r="K948" s="619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</row>
    <row r="949">
      <c r="A949" s="12"/>
      <c r="B949" s="605"/>
      <c r="C949" s="12"/>
      <c r="D949" s="12"/>
      <c r="E949" s="12"/>
      <c r="F949" s="12"/>
      <c r="G949" s="609"/>
      <c r="H949" s="12"/>
      <c r="I949" s="609"/>
      <c r="J949" s="618"/>
      <c r="K949" s="619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</row>
    <row r="950">
      <c r="A950" s="12"/>
      <c r="B950" s="605"/>
      <c r="C950" s="12"/>
      <c r="D950" s="12"/>
      <c r="E950" s="12"/>
      <c r="F950" s="12"/>
      <c r="G950" s="609"/>
      <c r="H950" s="12"/>
      <c r="I950" s="609"/>
      <c r="J950" s="618"/>
      <c r="K950" s="619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</row>
    <row r="951">
      <c r="A951" s="12"/>
      <c r="B951" s="605"/>
      <c r="C951" s="12"/>
      <c r="D951" s="12"/>
      <c r="E951" s="12"/>
      <c r="F951" s="12"/>
      <c r="G951" s="609"/>
      <c r="H951" s="12"/>
      <c r="I951" s="609"/>
      <c r="J951" s="618"/>
      <c r="K951" s="619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</row>
    <row r="952">
      <c r="A952" s="12"/>
      <c r="B952" s="605"/>
      <c r="C952" s="12"/>
      <c r="D952" s="12"/>
      <c r="E952" s="12"/>
      <c r="F952" s="12"/>
      <c r="G952" s="609"/>
      <c r="H952" s="12"/>
      <c r="I952" s="609"/>
      <c r="J952" s="618"/>
      <c r="K952" s="619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</row>
    <row r="953">
      <c r="A953" s="12"/>
      <c r="B953" s="605"/>
      <c r="C953" s="12"/>
      <c r="D953" s="12"/>
      <c r="E953" s="12"/>
      <c r="F953" s="12"/>
      <c r="G953" s="609"/>
      <c r="H953" s="12"/>
      <c r="I953" s="609"/>
      <c r="J953" s="618"/>
      <c r="K953" s="619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</row>
    <row r="954">
      <c r="A954" s="12"/>
      <c r="B954" s="605"/>
      <c r="C954" s="12"/>
      <c r="D954" s="12"/>
      <c r="E954" s="12"/>
      <c r="F954" s="12"/>
      <c r="G954" s="609"/>
      <c r="H954" s="12"/>
      <c r="I954" s="609"/>
      <c r="J954" s="618"/>
      <c r="K954" s="619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</row>
    <row r="955">
      <c r="A955" s="12"/>
      <c r="B955" s="605"/>
      <c r="C955" s="12"/>
      <c r="D955" s="12"/>
      <c r="E955" s="12"/>
      <c r="F955" s="12"/>
      <c r="G955" s="609"/>
      <c r="H955" s="12"/>
      <c r="I955" s="609"/>
      <c r="J955" s="618"/>
      <c r="K955" s="619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</row>
    <row r="956">
      <c r="A956" s="12"/>
      <c r="B956" s="605"/>
      <c r="C956" s="12"/>
      <c r="D956" s="12"/>
      <c r="E956" s="12"/>
      <c r="F956" s="12"/>
      <c r="G956" s="609"/>
      <c r="H956" s="12"/>
      <c r="I956" s="609"/>
      <c r="J956" s="618"/>
      <c r="K956" s="619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</row>
    <row r="957">
      <c r="A957" s="12"/>
      <c r="B957" s="605"/>
      <c r="C957" s="12"/>
      <c r="D957" s="12"/>
      <c r="E957" s="12"/>
      <c r="F957" s="12"/>
      <c r="G957" s="609"/>
      <c r="H957" s="12"/>
      <c r="I957" s="609"/>
      <c r="J957" s="618"/>
      <c r="K957" s="619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</row>
    <row r="958">
      <c r="A958" s="12"/>
      <c r="B958" s="605"/>
      <c r="C958" s="12"/>
      <c r="D958" s="12"/>
      <c r="E958" s="12"/>
      <c r="F958" s="12"/>
      <c r="G958" s="609"/>
      <c r="H958" s="12"/>
      <c r="I958" s="609"/>
      <c r="J958" s="618"/>
      <c r="K958" s="619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</row>
    <row r="959">
      <c r="A959" s="12"/>
      <c r="B959" s="605"/>
      <c r="C959" s="12"/>
      <c r="D959" s="12"/>
      <c r="E959" s="12"/>
      <c r="F959" s="12"/>
      <c r="G959" s="609"/>
      <c r="H959" s="12"/>
      <c r="I959" s="609"/>
      <c r="J959" s="618"/>
      <c r="K959" s="619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</row>
    <row r="960">
      <c r="A960" s="12"/>
      <c r="B960" s="605"/>
      <c r="C960" s="12"/>
      <c r="D960" s="12"/>
      <c r="E960" s="12"/>
      <c r="F960" s="12"/>
      <c r="G960" s="609"/>
      <c r="H960" s="12"/>
      <c r="I960" s="609"/>
      <c r="J960" s="618"/>
      <c r="K960" s="619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</row>
    <row r="961">
      <c r="A961" s="12"/>
      <c r="B961" s="605"/>
      <c r="C961" s="12"/>
      <c r="D961" s="12"/>
      <c r="E961" s="12"/>
      <c r="F961" s="12"/>
      <c r="G961" s="609"/>
      <c r="H961" s="12"/>
      <c r="I961" s="609"/>
      <c r="J961" s="618"/>
      <c r="K961" s="619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</row>
    <row r="962">
      <c r="A962" s="12"/>
      <c r="B962" s="605"/>
      <c r="C962" s="12"/>
      <c r="D962" s="12"/>
      <c r="E962" s="12"/>
      <c r="F962" s="12"/>
      <c r="G962" s="609"/>
      <c r="H962" s="12"/>
      <c r="I962" s="609"/>
      <c r="J962" s="618"/>
      <c r="K962" s="619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</row>
    <row r="963">
      <c r="A963" s="12"/>
      <c r="B963" s="605"/>
      <c r="C963" s="12"/>
      <c r="D963" s="12"/>
      <c r="E963" s="12"/>
      <c r="F963" s="12"/>
      <c r="G963" s="609"/>
      <c r="H963" s="12"/>
      <c r="I963" s="609"/>
      <c r="J963" s="618"/>
      <c r="K963" s="619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</row>
    <row r="964">
      <c r="A964" s="12"/>
      <c r="B964" s="605"/>
      <c r="C964" s="12"/>
      <c r="D964" s="12"/>
      <c r="E964" s="12"/>
      <c r="F964" s="12"/>
      <c r="G964" s="609"/>
      <c r="H964" s="12"/>
      <c r="I964" s="609"/>
      <c r="J964" s="618"/>
      <c r="K964" s="619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</row>
    <row r="965">
      <c r="A965" s="12"/>
      <c r="B965" s="605"/>
      <c r="C965" s="12"/>
      <c r="D965" s="12"/>
      <c r="E965" s="12"/>
      <c r="F965" s="12"/>
      <c r="G965" s="609"/>
      <c r="H965" s="12"/>
      <c r="I965" s="609"/>
      <c r="J965" s="618"/>
      <c r="K965" s="619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</row>
    <row r="966">
      <c r="A966" s="12"/>
      <c r="B966" s="605"/>
      <c r="C966" s="12"/>
      <c r="D966" s="12"/>
      <c r="E966" s="12"/>
      <c r="F966" s="12"/>
      <c r="G966" s="609"/>
      <c r="H966" s="12"/>
      <c r="I966" s="609"/>
      <c r="J966" s="618"/>
      <c r="K966" s="619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</row>
    <row r="967">
      <c r="A967" s="12"/>
      <c r="B967" s="605"/>
      <c r="C967" s="12"/>
      <c r="D967" s="12"/>
      <c r="E967" s="12"/>
      <c r="F967" s="12"/>
      <c r="G967" s="609"/>
      <c r="H967" s="12"/>
      <c r="I967" s="609"/>
      <c r="J967" s="618"/>
      <c r="K967" s="619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</row>
    <row r="968">
      <c r="A968" s="12"/>
      <c r="B968" s="605"/>
      <c r="C968" s="12"/>
      <c r="D968" s="12"/>
      <c r="E968" s="12"/>
      <c r="F968" s="12"/>
      <c r="G968" s="609"/>
      <c r="H968" s="12"/>
      <c r="I968" s="609"/>
      <c r="J968" s="618"/>
      <c r="K968" s="619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</row>
    <row r="969">
      <c r="A969" s="12"/>
      <c r="B969" s="605"/>
      <c r="C969" s="12"/>
      <c r="D969" s="12"/>
      <c r="E969" s="12"/>
      <c r="F969" s="12"/>
      <c r="G969" s="609"/>
      <c r="H969" s="12"/>
      <c r="I969" s="609"/>
      <c r="J969" s="618"/>
      <c r="K969" s="619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</row>
    <row r="970">
      <c r="A970" s="12"/>
      <c r="B970" s="605"/>
      <c r="C970" s="12"/>
      <c r="D970" s="12"/>
      <c r="E970" s="12"/>
      <c r="F970" s="12"/>
      <c r="G970" s="609"/>
      <c r="H970" s="12"/>
      <c r="I970" s="609"/>
      <c r="J970" s="618"/>
      <c r="K970" s="619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</row>
    <row r="971">
      <c r="A971" s="12"/>
      <c r="B971" s="605"/>
      <c r="C971" s="12"/>
      <c r="D971" s="12"/>
      <c r="E971" s="12"/>
      <c r="F971" s="12"/>
      <c r="G971" s="609"/>
      <c r="H971" s="12"/>
      <c r="I971" s="609"/>
      <c r="J971" s="618"/>
      <c r="K971" s="619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</row>
    <row r="972">
      <c r="A972" s="12"/>
      <c r="B972" s="605"/>
      <c r="C972" s="12"/>
      <c r="D972" s="12"/>
      <c r="E972" s="12"/>
      <c r="F972" s="12"/>
      <c r="G972" s="609"/>
      <c r="H972" s="12"/>
      <c r="I972" s="609"/>
      <c r="J972" s="618"/>
      <c r="K972" s="619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  <row r="973">
      <c r="A973" s="12"/>
      <c r="B973" s="605"/>
      <c r="C973" s="12"/>
      <c r="D973" s="12"/>
      <c r="E973" s="12"/>
      <c r="F973" s="12"/>
      <c r="G973" s="609"/>
      <c r="H973" s="12"/>
      <c r="I973" s="609"/>
      <c r="J973" s="618"/>
      <c r="K973" s="619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</row>
    <row r="974">
      <c r="A974" s="12"/>
      <c r="B974" s="605"/>
      <c r="C974" s="12"/>
      <c r="D974" s="12"/>
      <c r="E974" s="12"/>
      <c r="F974" s="12"/>
      <c r="G974" s="609"/>
      <c r="H974" s="12"/>
      <c r="I974" s="609"/>
      <c r="J974" s="618"/>
      <c r="K974" s="619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</row>
    <row r="975">
      <c r="A975" s="12"/>
      <c r="B975" s="605"/>
      <c r="C975" s="12"/>
      <c r="D975" s="12"/>
      <c r="E975" s="12"/>
      <c r="F975" s="12"/>
      <c r="G975" s="609"/>
      <c r="H975" s="12"/>
      <c r="I975" s="609"/>
      <c r="J975" s="618"/>
      <c r="K975" s="619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</row>
    <row r="976">
      <c r="A976" s="12"/>
      <c r="B976" s="605"/>
      <c r="C976" s="12"/>
      <c r="D976" s="12"/>
      <c r="E976" s="12"/>
      <c r="F976" s="12"/>
      <c r="G976" s="609"/>
      <c r="H976" s="12"/>
      <c r="I976" s="609"/>
      <c r="J976" s="618"/>
      <c r="K976" s="619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</row>
    <row r="977">
      <c r="A977" s="12"/>
      <c r="B977" s="605"/>
      <c r="C977" s="12"/>
      <c r="D977" s="12"/>
      <c r="E977" s="12"/>
      <c r="F977" s="12"/>
      <c r="G977" s="609"/>
      <c r="H977" s="12"/>
      <c r="I977" s="609"/>
      <c r="J977" s="618"/>
      <c r="K977" s="619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</row>
    <row r="978">
      <c r="A978" s="12"/>
      <c r="B978" s="605"/>
      <c r="C978" s="12"/>
      <c r="D978" s="12"/>
      <c r="E978" s="12"/>
      <c r="F978" s="12"/>
      <c r="G978" s="609"/>
      <c r="H978" s="12"/>
      <c r="I978" s="609"/>
      <c r="J978" s="618"/>
      <c r="K978" s="619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</row>
    <row r="979">
      <c r="A979" s="12"/>
      <c r="B979" s="605"/>
      <c r="C979" s="12"/>
      <c r="D979" s="12"/>
      <c r="E979" s="12"/>
      <c r="F979" s="12"/>
      <c r="G979" s="609"/>
      <c r="H979" s="12"/>
      <c r="I979" s="609"/>
      <c r="J979" s="618"/>
      <c r="K979" s="619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</row>
    <row r="980">
      <c r="A980" s="12"/>
      <c r="B980" s="605"/>
      <c r="C980" s="12"/>
      <c r="D980" s="12"/>
      <c r="E980" s="12"/>
      <c r="F980" s="12"/>
      <c r="G980" s="609"/>
      <c r="H980" s="12"/>
      <c r="I980" s="609"/>
      <c r="J980" s="618"/>
      <c r="K980" s="619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</row>
    <row r="981">
      <c r="A981" s="12"/>
      <c r="B981" s="605"/>
      <c r="C981" s="12"/>
      <c r="D981" s="12"/>
      <c r="E981" s="12"/>
      <c r="F981" s="12"/>
      <c r="G981" s="609"/>
      <c r="H981" s="12"/>
      <c r="I981" s="609"/>
      <c r="J981" s="618"/>
      <c r="K981" s="619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</row>
    <row r="982">
      <c r="A982" s="12"/>
      <c r="B982" s="605"/>
      <c r="C982" s="12"/>
      <c r="D982" s="12"/>
      <c r="E982" s="12"/>
      <c r="F982" s="12"/>
      <c r="G982" s="609"/>
      <c r="H982" s="12"/>
      <c r="I982" s="609"/>
      <c r="J982" s="618"/>
      <c r="K982" s="619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</row>
    <row r="983">
      <c r="A983" s="12"/>
      <c r="B983" s="605"/>
      <c r="C983" s="12"/>
      <c r="D983" s="12"/>
      <c r="E983" s="12"/>
      <c r="F983" s="12"/>
      <c r="G983" s="609"/>
      <c r="H983" s="12"/>
      <c r="I983" s="609"/>
      <c r="J983" s="618"/>
      <c r="K983" s="619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</row>
    <row r="984">
      <c r="A984" s="12"/>
      <c r="B984" s="605"/>
      <c r="C984" s="12"/>
      <c r="D984" s="12"/>
      <c r="E984" s="12"/>
      <c r="F984" s="12"/>
      <c r="G984" s="609"/>
      <c r="H984" s="12"/>
      <c r="I984" s="609"/>
      <c r="J984" s="618"/>
      <c r="K984" s="619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</row>
    <row r="985">
      <c r="A985" s="12"/>
      <c r="B985" s="605"/>
      <c r="C985" s="12"/>
      <c r="D985" s="12"/>
      <c r="E985" s="12"/>
      <c r="F985" s="12"/>
      <c r="G985" s="609"/>
      <c r="H985" s="12"/>
      <c r="I985" s="609"/>
      <c r="J985" s="618"/>
      <c r="K985" s="619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</row>
    <row r="986">
      <c r="A986" s="12"/>
      <c r="B986" s="605"/>
      <c r="C986" s="12"/>
      <c r="D986" s="12"/>
      <c r="E986" s="12"/>
      <c r="F986" s="12"/>
      <c r="G986" s="609"/>
      <c r="H986" s="12"/>
      <c r="I986" s="609"/>
      <c r="J986" s="618"/>
      <c r="K986" s="619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</row>
    <row r="987">
      <c r="A987" s="12"/>
      <c r="B987" s="605"/>
      <c r="C987" s="12"/>
      <c r="D987" s="12"/>
      <c r="E987" s="12"/>
      <c r="F987" s="12"/>
      <c r="G987" s="609"/>
      <c r="H987" s="12"/>
      <c r="I987" s="609"/>
      <c r="J987" s="618"/>
      <c r="K987" s="619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</row>
    <row r="988">
      <c r="A988" s="12"/>
      <c r="B988" s="605"/>
      <c r="C988" s="12"/>
      <c r="D988" s="12"/>
      <c r="E988" s="12"/>
      <c r="F988" s="12"/>
      <c r="G988" s="609"/>
      <c r="H988" s="12"/>
      <c r="I988" s="609"/>
      <c r="J988" s="618"/>
      <c r="K988" s="619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</row>
    <row r="989">
      <c r="A989" s="12"/>
      <c r="B989" s="605"/>
      <c r="C989" s="12"/>
      <c r="D989" s="12"/>
      <c r="E989" s="12"/>
      <c r="F989" s="12"/>
      <c r="G989" s="609"/>
      <c r="H989" s="12"/>
      <c r="I989" s="609"/>
      <c r="J989" s="618"/>
      <c r="K989" s="619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</row>
    <row r="990">
      <c r="A990" s="12"/>
      <c r="B990" s="605"/>
      <c r="C990" s="12"/>
      <c r="D990" s="12"/>
      <c r="E990" s="12"/>
      <c r="F990" s="12"/>
      <c r="G990" s="609"/>
      <c r="H990" s="12"/>
      <c r="I990" s="609"/>
      <c r="J990" s="618"/>
      <c r="K990" s="619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</row>
    <row r="991">
      <c r="A991" s="12"/>
      <c r="B991" s="605"/>
      <c r="C991" s="12"/>
      <c r="D991" s="12"/>
      <c r="E991" s="12"/>
      <c r="F991" s="12"/>
      <c r="G991" s="609"/>
      <c r="H991" s="12"/>
      <c r="I991" s="609"/>
      <c r="J991" s="618"/>
      <c r="K991" s="619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</row>
    <row r="992">
      <c r="A992" s="12"/>
      <c r="B992" s="605"/>
      <c r="C992" s="12"/>
      <c r="D992" s="12"/>
      <c r="E992" s="12"/>
      <c r="F992" s="12"/>
      <c r="G992" s="609"/>
      <c r="H992" s="12"/>
      <c r="I992" s="609"/>
      <c r="J992" s="618"/>
      <c r="K992" s="619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</row>
    <row r="993">
      <c r="A993" s="12"/>
      <c r="B993" s="605"/>
      <c r="C993" s="12"/>
      <c r="D993" s="12"/>
      <c r="E993" s="12"/>
      <c r="F993" s="12"/>
      <c r="G993" s="609"/>
      <c r="H993" s="12"/>
      <c r="I993" s="609"/>
      <c r="J993" s="618"/>
      <c r="K993" s="619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</row>
    <row r="994">
      <c r="A994" s="12"/>
      <c r="B994" s="605"/>
      <c r="C994" s="12"/>
      <c r="D994" s="12"/>
      <c r="E994" s="12"/>
      <c r="F994" s="12"/>
      <c r="G994" s="609"/>
      <c r="H994" s="12"/>
      <c r="I994" s="609"/>
      <c r="J994" s="618"/>
      <c r="K994" s="619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</row>
    <row r="995">
      <c r="A995" s="12"/>
      <c r="B995" s="605"/>
      <c r="C995" s="12"/>
      <c r="D995" s="12"/>
      <c r="E995" s="12"/>
      <c r="F995" s="12"/>
      <c r="G995" s="609"/>
      <c r="H995" s="12"/>
      <c r="I995" s="609"/>
      <c r="J995" s="618"/>
      <c r="K995" s="619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</row>
    <row r="996">
      <c r="A996" s="12"/>
      <c r="B996" s="605"/>
      <c r="C996" s="12"/>
      <c r="D996" s="12"/>
      <c r="E996" s="12"/>
      <c r="F996" s="12"/>
      <c r="G996" s="609"/>
      <c r="H996" s="12"/>
      <c r="I996" s="609"/>
      <c r="J996" s="618"/>
      <c r="K996" s="619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</row>
    <row r="997">
      <c r="A997" s="12"/>
      <c r="B997" s="605"/>
      <c r="C997" s="12"/>
      <c r="D997" s="12"/>
      <c r="E997" s="12"/>
      <c r="F997" s="12"/>
      <c r="G997" s="609"/>
      <c r="H997" s="12"/>
      <c r="I997" s="609"/>
      <c r="J997" s="618"/>
      <c r="K997" s="619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</row>
    <row r="998">
      <c r="A998" s="12"/>
      <c r="B998" s="605"/>
      <c r="C998" s="12"/>
      <c r="D998" s="12"/>
      <c r="E998" s="12"/>
      <c r="F998" s="12"/>
      <c r="G998" s="609"/>
      <c r="H998" s="12"/>
      <c r="I998" s="609"/>
      <c r="J998" s="618"/>
      <c r="K998" s="619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</row>
    <row r="999">
      <c r="A999" s="12"/>
      <c r="B999" s="605"/>
      <c r="C999" s="12"/>
      <c r="D999" s="12"/>
      <c r="E999" s="12"/>
      <c r="F999" s="12"/>
      <c r="G999" s="609"/>
      <c r="H999" s="12"/>
      <c r="I999" s="609"/>
      <c r="J999" s="618"/>
      <c r="K999" s="619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</row>
    <row r="1000">
      <c r="A1000" s="12"/>
      <c r="B1000" s="605"/>
      <c r="C1000" s="12"/>
      <c r="D1000" s="12"/>
      <c r="E1000" s="12"/>
      <c r="F1000" s="12"/>
      <c r="G1000" s="609"/>
      <c r="H1000" s="12"/>
      <c r="I1000" s="609"/>
      <c r="J1000" s="618"/>
      <c r="K1000" s="619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</row>
    <row r="1001">
      <c r="A1001" s="12"/>
      <c r="B1001" s="605"/>
      <c r="C1001" s="12"/>
      <c r="D1001" s="12"/>
      <c r="E1001" s="12"/>
      <c r="F1001" s="12"/>
      <c r="G1001" s="609"/>
      <c r="H1001" s="12"/>
      <c r="I1001" s="609"/>
      <c r="J1001" s="618"/>
      <c r="K1001" s="619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</row>
    <row r="1002">
      <c r="A1002" s="12"/>
      <c r="B1002" s="605"/>
      <c r="C1002" s="12"/>
      <c r="D1002" s="12"/>
      <c r="E1002" s="12"/>
      <c r="F1002" s="12"/>
      <c r="G1002" s="609"/>
      <c r="H1002" s="12"/>
      <c r="I1002" s="609"/>
      <c r="J1002" s="618"/>
      <c r="K1002" s="619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</row>
    <row r="1003">
      <c r="A1003" s="12"/>
      <c r="B1003" s="605"/>
      <c r="C1003" s="12"/>
      <c r="D1003" s="12"/>
      <c r="E1003" s="12"/>
      <c r="F1003" s="12"/>
      <c r="G1003" s="609"/>
      <c r="H1003" s="12"/>
      <c r="I1003" s="609"/>
      <c r="J1003" s="618"/>
      <c r="K1003" s="619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</row>
    <row r="1004">
      <c r="A1004" s="12"/>
      <c r="B1004" s="605"/>
      <c r="C1004" s="12"/>
      <c r="D1004" s="12"/>
      <c r="E1004" s="12"/>
      <c r="F1004" s="12"/>
      <c r="G1004" s="609"/>
      <c r="H1004" s="12"/>
      <c r="I1004" s="609"/>
      <c r="J1004" s="618"/>
      <c r="K1004" s="619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</row>
    <row r="1005">
      <c r="A1005" s="12"/>
      <c r="B1005" s="605"/>
      <c r="C1005" s="12"/>
      <c r="D1005" s="12"/>
      <c r="E1005" s="12"/>
      <c r="F1005" s="12"/>
      <c r="G1005" s="609"/>
      <c r="H1005" s="12"/>
      <c r="I1005" s="609"/>
      <c r="J1005" s="618"/>
      <c r="K1005" s="619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</row>
    <row r="1006">
      <c r="A1006" s="12"/>
      <c r="B1006" s="605"/>
      <c r="C1006" s="12"/>
      <c r="D1006" s="12"/>
      <c r="E1006" s="12"/>
      <c r="F1006" s="12"/>
      <c r="G1006" s="609"/>
      <c r="H1006" s="12"/>
      <c r="I1006" s="609"/>
      <c r="J1006" s="618"/>
      <c r="K1006" s="619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</row>
    <row r="1007">
      <c r="A1007" s="12"/>
      <c r="B1007" s="605"/>
      <c r="C1007" s="12"/>
      <c r="D1007" s="12"/>
      <c r="E1007" s="12"/>
      <c r="F1007" s="12"/>
      <c r="G1007" s="609"/>
      <c r="H1007" s="12"/>
      <c r="I1007" s="609"/>
      <c r="J1007" s="618"/>
      <c r="K1007" s="619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</row>
    <row r="1008">
      <c r="A1008" s="12"/>
      <c r="B1008" s="605"/>
      <c r="C1008" s="12"/>
      <c r="D1008" s="12"/>
      <c r="E1008" s="12"/>
      <c r="F1008" s="12"/>
      <c r="G1008" s="609"/>
      <c r="H1008" s="12"/>
      <c r="I1008" s="609"/>
      <c r="J1008" s="618"/>
      <c r="K1008" s="619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</row>
    <row r="1009">
      <c r="A1009" s="12"/>
      <c r="B1009" s="605"/>
      <c r="C1009" s="12"/>
      <c r="D1009" s="12"/>
      <c r="E1009" s="12"/>
      <c r="F1009" s="12"/>
      <c r="G1009" s="609"/>
      <c r="H1009" s="12"/>
      <c r="I1009" s="609"/>
      <c r="J1009" s="618"/>
      <c r="K1009" s="619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</row>
    <row r="1010">
      <c r="A1010" s="12"/>
      <c r="B1010" s="605"/>
      <c r="C1010" s="12"/>
      <c r="D1010" s="12"/>
      <c r="E1010" s="12"/>
      <c r="F1010" s="12"/>
      <c r="G1010" s="609"/>
      <c r="H1010" s="12"/>
      <c r="I1010" s="609"/>
      <c r="J1010" s="618"/>
      <c r="K1010" s="619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</row>
    <row r="1011">
      <c r="A1011" s="12"/>
      <c r="B1011" s="605"/>
      <c r="C1011" s="12"/>
      <c r="D1011" s="12"/>
      <c r="E1011" s="12"/>
      <c r="F1011" s="12"/>
      <c r="G1011" s="609"/>
      <c r="H1011" s="12"/>
      <c r="I1011" s="609"/>
      <c r="J1011" s="618"/>
      <c r="K1011" s="619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</row>
    <row r="1012">
      <c r="A1012" s="12"/>
      <c r="B1012" s="605"/>
      <c r="C1012" s="12"/>
      <c r="D1012" s="12"/>
      <c r="E1012" s="12"/>
      <c r="F1012" s="12"/>
      <c r="G1012" s="609"/>
      <c r="H1012" s="12"/>
      <c r="I1012" s="609"/>
      <c r="J1012" s="618"/>
      <c r="K1012" s="619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</row>
    <row r="1013">
      <c r="A1013" s="12"/>
      <c r="B1013" s="605"/>
      <c r="C1013" s="12"/>
      <c r="D1013" s="12"/>
      <c r="E1013" s="12"/>
      <c r="F1013" s="12"/>
      <c r="G1013" s="609"/>
      <c r="H1013" s="12"/>
      <c r="I1013" s="609"/>
      <c r="J1013" s="618"/>
      <c r="K1013" s="619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</row>
    <row r="1014">
      <c r="A1014" s="12"/>
      <c r="B1014" s="605"/>
      <c r="C1014" s="12"/>
      <c r="D1014" s="12"/>
      <c r="E1014" s="12"/>
      <c r="F1014" s="12"/>
      <c r="G1014" s="609"/>
      <c r="H1014" s="12"/>
      <c r="I1014" s="609"/>
      <c r="J1014" s="618"/>
      <c r="K1014" s="619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</row>
    <row r="1015">
      <c r="A1015" s="12"/>
      <c r="B1015" s="605"/>
      <c r="C1015" s="12"/>
      <c r="D1015" s="12"/>
      <c r="E1015" s="12"/>
      <c r="F1015" s="12"/>
      <c r="G1015" s="609"/>
      <c r="H1015" s="12"/>
      <c r="I1015" s="609"/>
      <c r="J1015" s="618"/>
      <c r="K1015" s="619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</row>
    <row r="1016">
      <c r="A1016" s="12"/>
      <c r="B1016" s="605"/>
      <c r="C1016" s="12"/>
      <c r="D1016" s="12"/>
      <c r="E1016" s="12"/>
      <c r="F1016" s="12"/>
      <c r="G1016" s="609"/>
      <c r="H1016" s="12"/>
      <c r="I1016" s="609"/>
      <c r="J1016" s="618"/>
      <c r="K1016" s="619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</row>
    <row r="1017">
      <c r="A1017" s="12"/>
      <c r="B1017" s="605"/>
      <c r="C1017" s="12"/>
      <c r="D1017" s="12"/>
      <c r="E1017" s="12"/>
      <c r="F1017" s="12"/>
      <c r="G1017" s="609"/>
      <c r="H1017" s="12"/>
      <c r="I1017" s="609"/>
      <c r="J1017" s="618"/>
      <c r="K1017" s="619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</row>
    <row r="1018">
      <c r="A1018" s="12"/>
      <c r="B1018" s="605"/>
      <c r="C1018" s="12"/>
      <c r="D1018" s="12"/>
      <c r="E1018" s="12"/>
      <c r="F1018" s="12"/>
      <c r="G1018" s="609"/>
      <c r="H1018" s="12"/>
      <c r="I1018" s="609"/>
      <c r="J1018" s="618"/>
      <c r="K1018" s="619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</row>
    <row r="1019">
      <c r="A1019" s="12"/>
      <c r="B1019" s="605"/>
      <c r="C1019" s="12"/>
      <c r="D1019" s="12"/>
      <c r="E1019" s="12"/>
      <c r="F1019" s="12"/>
      <c r="G1019" s="609"/>
      <c r="H1019" s="12"/>
      <c r="I1019" s="609"/>
      <c r="J1019" s="618"/>
      <c r="K1019" s="619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</row>
    <row r="1020">
      <c r="A1020" s="12"/>
      <c r="B1020" s="605"/>
      <c r="C1020" s="12"/>
      <c r="D1020" s="12"/>
      <c r="E1020" s="12"/>
      <c r="F1020" s="12"/>
      <c r="G1020" s="609"/>
      <c r="H1020" s="12"/>
      <c r="I1020" s="609"/>
      <c r="J1020" s="618"/>
      <c r="K1020" s="619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</row>
    <row r="1021">
      <c r="A1021" s="12"/>
      <c r="B1021" s="605"/>
      <c r="C1021" s="12"/>
      <c r="D1021" s="12"/>
      <c r="E1021" s="12"/>
      <c r="F1021" s="12"/>
      <c r="G1021" s="609"/>
      <c r="H1021" s="12"/>
      <c r="I1021" s="609"/>
      <c r="J1021" s="618"/>
      <c r="K1021" s="619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</row>
    <row r="1022">
      <c r="A1022" s="12"/>
      <c r="B1022" s="605"/>
      <c r="C1022" s="12"/>
      <c r="D1022" s="12"/>
      <c r="E1022" s="12"/>
      <c r="F1022" s="12"/>
      <c r="G1022" s="609"/>
      <c r="H1022" s="12"/>
      <c r="I1022" s="609"/>
      <c r="J1022" s="618"/>
      <c r="K1022" s="619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</row>
    <row r="1023">
      <c r="A1023" s="12"/>
      <c r="B1023" s="605"/>
      <c r="C1023" s="12"/>
      <c r="D1023" s="12"/>
      <c r="E1023" s="12"/>
      <c r="F1023" s="12"/>
      <c r="G1023" s="609"/>
      <c r="H1023" s="12"/>
      <c r="I1023" s="609"/>
      <c r="J1023" s="618"/>
      <c r="K1023" s="619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</row>
    <row r="1024">
      <c r="A1024" s="12"/>
      <c r="B1024" s="605"/>
      <c r="C1024" s="12"/>
      <c r="D1024" s="12"/>
      <c r="E1024" s="12"/>
      <c r="F1024" s="12"/>
      <c r="G1024" s="609"/>
      <c r="H1024" s="12"/>
      <c r="I1024" s="609"/>
      <c r="J1024" s="618"/>
      <c r="K1024" s="619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</row>
    <row r="1025">
      <c r="A1025" s="12"/>
      <c r="B1025" s="605"/>
      <c r="C1025" s="12"/>
      <c r="D1025" s="12"/>
      <c r="E1025" s="12"/>
      <c r="F1025" s="12"/>
      <c r="G1025" s="609"/>
      <c r="H1025" s="12"/>
      <c r="I1025" s="609"/>
      <c r="J1025" s="618"/>
      <c r="K1025" s="619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</row>
    <row r="1026">
      <c r="A1026" s="12"/>
      <c r="B1026" s="605"/>
      <c r="C1026" s="12"/>
      <c r="D1026" s="12"/>
      <c r="E1026" s="12"/>
      <c r="F1026" s="12"/>
      <c r="G1026" s="609"/>
      <c r="H1026" s="12"/>
      <c r="I1026" s="609"/>
      <c r="J1026" s="618"/>
      <c r="K1026" s="619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</row>
    <row r="1027">
      <c r="A1027" s="12"/>
      <c r="B1027" s="605"/>
      <c r="C1027" s="12"/>
      <c r="D1027" s="12"/>
      <c r="E1027" s="12"/>
      <c r="F1027" s="12"/>
      <c r="G1027" s="609"/>
      <c r="H1027" s="12"/>
      <c r="I1027" s="609"/>
      <c r="J1027" s="618"/>
      <c r="K1027" s="619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</row>
    <row r="1028">
      <c r="A1028" s="12"/>
      <c r="B1028" s="605"/>
      <c r="C1028" s="12"/>
      <c r="D1028" s="12"/>
      <c r="E1028" s="12"/>
      <c r="F1028" s="12"/>
      <c r="G1028" s="609"/>
      <c r="H1028" s="12"/>
      <c r="I1028" s="609"/>
      <c r="J1028" s="618"/>
      <c r="K1028" s="619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</row>
    <row r="1029">
      <c r="A1029" s="12"/>
      <c r="B1029" s="605"/>
      <c r="C1029" s="12"/>
      <c r="D1029" s="12"/>
      <c r="E1029" s="12"/>
      <c r="F1029" s="12"/>
      <c r="G1029" s="609"/>
      <c r="H1029" s="12"/>
      <c r="I1029" s="609"/>
      <c r="J1029" s="618"/>
      <c r="K1029" s="619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</row>
    <row r="1030">
      <c r="A1030" s="12"/>
      <c r="B1030" s="605"/>
      <c r="C1030" s="12"/>
      <c r="D1030" s="12"/>
      <c r="E1030" s="12"/>
      <c r="F1030" s="12"/>
      <c r="G1030" s="609"/>
      <c r="H1030" s="12"/>
      <c r="I1030" s="609"/>
      <c r="J1030" s="618"/>
      <c r="K1030" s="619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</row>
    <row r="1031">
      <c r="A1031" s="12"/>
      <c r="B1031" s="605"/>
      <c r="C1031" s="12"/>
      <c r="D1031" s="12"/>
      <c r="E1031" s="12"/>
      <c r="F1031" s="12"/>
      <c r="G1031" s="609"/>
      <c r="H1031" s="12"/>
      <c r="I1031" s="609"/>
      <c r="J1031" s="618"/>
      <c r="K1031" s="619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</row>
    <row r="1032">
      <c r="A1032" s="12"/>
      <c r="B1032" s="605"/>
      <c r="C1032" s="12"/>
      <c r="D1032" s="12"/>
      <c r="E1032" s="12"/>
      <c r="F1032" s="12"/>
      <c r="G1032" s="609"/>
      <c r="H1032" s="12"/>
      <c r="I1032" s="609"/>
      <c r="J1032" s="618"/>
      <c r="K1032" s="619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</row>
    <row r="1033">
      <c r="A1033" s="12"/>
      <c r="B1033" s="605"/>
      <c r="C1033" s="12"/>
      <c r="D1033" s="12"/>
      <c r="E1033" s="12"/>
      <c r="F1033" s="12"/>
      <c r="G1033" s="609"/>
      <c r="H1033" s="12"/>
      <c r="I1033" s="609"/>
      <c r="J1033" s="618"/>
      <c r="K1033" s="619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</row>
    <row r="1034">
      <c r="A1034" s="12"/>
      <c r="B1034" s="605"/>
      <c r="C1034" s="12"/>
      <c r="D1034" s="12"/>
      <c r="E1034" s="12"/>
      <c r="F1034" s="12"/>
      <c r="G1034" s="609"/>
      <c r="H1034" s="12"/>
      <c r="I1034" s="609"/>
      <c r="J1034" s="618"/>
      <c r="K1034" s="619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</row>
    <row r="1035">
      <c r="A1035" s="12"/>
      <c r="B1035" s="605"/>
      <c r="C1035" s="12"/>
      <c r="D1035" s="12"/>
      <c r="E1035" s="12"/>
      <c r="F1035" s="12"/>
      <c r="G1035" s="609"/>
      <c r="H1035" s="12"/>
      <c r="I1035" s="609"/>
      <c r="J1035" s="618"/>
      <c r="K1035" s="619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</row>
    <row r="1036">
      <c r="A1036" s="12"/>
      <c r="B1036" s="605"/>
      <c r="C1036" s="12"/>
      <c r="D1036" s="12"/>
      <c r="E1036" s="12"/>
      <c r="F1036" s="12"/>
      <c r="G1036" s="609"/>
      <c r="H1036" s="12"/>
      <c r="I1036" s="609"/>
      <c r="J1036" s="618"/>
      <c r="K1036" s="619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</row>
    <row r="1037">
      <c r="A1037" s="12"/>
      <c r="B1037" s="605"/>
      <c r="C1037" s="12"/>
      <c r="D1037" s="12"/>
      <c r="E1037" s="12"/>
      <c r="F1037" s="12"/>
      <c r="G1037" s="609"/>
      <c r="H1037" s="12"/>
      <c r="I1037" s="609"/>
      <c r="J1037" s="618"/>
      <c r="K1037" s="619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</row>
    <row r="1038">
      <c r="A1038" s="12"/>
      <c r="B1038" s="605"/>
      <c r="C1038" s="12"/>
      <c r="D1038" s="12"/>
      <c r="E1038" s="12"/>
      <c r="F1038" s="12"/>
      <c r="G1038" s="609"/>
      <c r="H1038" s="12"/>
      <c r="I1038" s="609"/>
      <c r="J1038" s="618"/>
      <c r="K1038" s="619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</row>
    <row r="1039">
      <c r="A1039" s="12"/>
      <c r="B1039" s="605"/>
      <c r="C1039" s="12"/>
      <c r="D1039" s="12"/>
      <c r="E1039" s="12"/>
      <c r="F1039" s="12"/>
      <c r="G1039" s="609"/>
      <c r="H1039" s="12"/>
      <c r="I1039" s="609"/>
      <c r="J1039" s="618"/>
      <c r="K1039" s="619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</row>
    <row r="1040">
      <c r="A1040" s="12"/>
      <c r="B1040" s="605"/>
      <c r="C1040" s="12"/>
      <c r="D1040" s="12"/>
      <c r="E1040" s="12"/>
      <c r="F1040" s="12"/>
      <c r="G1040" s="609"/>
      <c r="H1040" s="12"/>
      <c r="I1040" s="609"/>
      <c r="J1040" s="618"/>
      <c r="K1040" s="619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</row>
    <row r="1041">
      <c r="A1041" s="12"/>
      <c r="B1041" s="605"/>
      <c r="C1041" s="12"/>
      <c r="D1041" s="12"/>
      <c r="E1041" s="12"/>
      <c r="F1041" s="12"/>
      <c r="G1041" s="609"/>
      <c r="H1041" s="12"/>
      <c r="I1041" s="609"/>
      <c r="J1041" s="618"/>
      <c r="K1041" s="619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</row>
    <row r="1042">
      <c r="A1042" s="12"/>
      <c r="B1042" s="605"/>
      <c r="C1042" s="12"/>
      <c r="D1042" s="12"/>
      <c r="E1042" s="12"/>
      <c r="F1042" s="12"/>
      <c r="G1042" s="609"/>
      <c r="H1042" s="12"/>
      <c r="I1042" s="609"/>
      <c r="J1042" s="618"/>
      <c r="K1042" s="619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</row>
    <row r="1043">
      <c r="A1043" s="12"/>
      <c r="B1043" s="605"/>
      <c r="C1043" s="12"/>
      <c r="D1043" s="12"/>
      <c r="E1043" s="12"/>
      <c r="F1043" s="12"/>
      <c r="G1043" s="609"/>
      <c r="H1043" s="12"/>
      <c r="I1043" s="609"/>
      <c r="J1043" s="618"/>
      <c r="K1043" s="619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</row>
    <row r="1044">
      <c r="A1044" s="12"/>
      <c r="B1044" s="605"/>
      <c r="C1044" s="12"/>
      <c r="D1044" s="12"/>
      <c r="E1044" s="12"/>
      <c r="F1044" s="12"/>
      <c r="G1044" s="609"/>
      <c r="H1044" s="12"/>
      <c r="I1044" s="609"/>
      <c r="J1044" s="618"/>
      <c r="K1044" s="619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</row>
    <row r="1045">
      <c r="A1045" s="12"/>
      <c r="B1045" s="605"/>
      <c r="C1045" s="12"/>
      <c r="D1045" s="12"/>
      <c r="E1045" s="12"/>
      <c r="F1045" s="12"/>
      <c r="G1045" s="609"/>
      <c r="H1045" s="12"/>
      <c r="I1045" s="609"/>
      <c r="J1045" s="618"/>
      <c r="K1045" s="619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</row>
    <row r="1046">
      <c r="A1046" s="12"/>
      <c r="B1046" s="605"/>
      <c r="C1046" s="12"/>
      <c r="D1046" s="12"/>
      <c r="E1046" s="12"/>
      <c r="F1046" s="12"/>
      <c r="G1046" s="609"/>
      <c r="H1046" s="12"/>
      <c r="I1046" s="609"/>
      <c r="J1046" s="618"/>
      <c r="K1046" s="619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</row>
    <row r="1047">
      <c r="A1047" s="12"/>
      <c r="B1047" s="605"/>
      <c r="C1047" s="12"/>
      <c r="D1047" s="12"/>
      <c r="E1047" s="12"/>
      <c r="F1047" s="12"/>
      <c r="G1047" s="609"/>
      <c r="H1047" s="12"/>
      <c r="I1047" s="609"/>
      <c r="J1047" s="618"/>
      <c r="K1047" s="619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</row>
    <row r="1048">
      <c r="A1048" s="12"/>
      <c r="B1048" s="605"/>
      <c r="C1048" s="12"/>
      <c r="D1048" s="12"/>
      <c r="E1048" s="12"/>
      <c r="F1048" s="12"/>
      <c r="G1048" s="609"/>
      <c r="H1048" s="12"/>
      <c r="I1048" s="609"/>
      <c r="J1048" s="618"/>
      <c r="K1048" s="619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</row>
    <row r="1049">
      <c r="A1049" s="12"/>
      <c r="B1049" s="605"/>
      <c r="C1049" s="12"/>
      <c r="D1049" s="12"/>
      <c r="E1049" s="12"/>
      <c r="F1049" s="12"/>
      <c r="G1049" s="609"/>
      <c r="H1049" s="12"/>
      <c r="I1049" s="609"/>
      <c r="J1049" s="618"/>
      <c r="K1049" s="619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</row>
    <row r="1050">
      <c r="A1050" s="12"/>
      <c r="B1050" s="605"/>
      <c r="C1050" s="12"/>
      <c r="D1050" s="12"/>
      <c r="E1050" s="12"/>
      <c r="F1050" s="12"/>
      <c r="G1050" s="609"/>
      <c r="H1050" s="12"/>
      <c r="I1050" s="609"/>
      <c r="J1050" s="618"/>
      <c r="K1050" s="619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</row>
    <row r="1051">
      <c r="A1051" s="12"/>
      <c r="B1051" s="605"/>
      <c r="C1051" s="12"/>
      <c r="D1051" s="12"/>
      <c r="E1051" s="12"/>
      <c r="F1051" s="12"/>
      <c r="G1051" s="609"/>
      <c r="H1051" s="12"/>
      <c r="I1051" s="609"/>
      <c r="J1051" s="618"/>
      <c r="K1051" s="619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</row>
    <row r="1052">
      <c r="A1052" s="12"/>
      <c r="B1052" s="605"/>
      <c r="C1052" s="12"/>
      <c r="D1052" s="12"/>
      <c r="E1052" s="12"/>
      <c r="F1052" s="12"/>
      <c r="G1052" s="609"/>
      <c r="H1052" s="12"/>
      <c r="I1052" s="609"/>
      <c r="J1052" s="618"/>
      <c r="K1052" s="619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</row>
    <row r="1053">
      <c r="A1053" s="12"/>
      <c r="B1053" s="605"/>
      <c r="C1053" s="12"/>
      <c r="D1053" s="12"/>
      <c r="E1053" s="12"/>
      <c r="F1053" s="12"/>
      <c r="G1053" s="609"/>
      <c r="H1053" s="12"/>
      <c r="I1053" s="609"/>
      <c r="J1053" s="618"/>
      <c r="K1053" s="619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</row>
    <row r="1054">
      <c r="A1054" s="12"/>
      <c r="B1054" s="605"/>
      <c r="C1054" s="12"/>
      <c r="D1054" s="12"/>
      <c r="E1054" s="12"/>
      <c r="F1054" s="12"/>
      <c r="G1054" s="609"/>
      <c r="H1054" s="12"/>
      <c r="I1054" s="609"/>
      <c r="J1054" s="618"/>
      <c r="K1054" s="619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</row>
    <row r="1055">
      <c r="A1055" s="12"/>
      <c r="B1055" s="605"/>
      <c r="C1055" s="12"/>
      <c r="D1055" s="12"/>
      <c r="E1055" s="12"/>
      <c r="F1055" s="12"/>
      <c r="G1055" s="609"/>
      <c r="H1055" s="12"/>
      <c r="I1055" s="609"/>
      <c r="J1055" s="618"/>
      <c r="K1055" s="619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</row>
    <row r="1056">
      <c r="A1056" s="12"/>
      <c r="B1056" s="605"/>
      <c r="C1056" s="12"/>
      <c r="D1056" s="12"/>
      <c r="E1056" s="12"/>
      <c r="F1056" s="12"/>
      <c r="G1056" s="609"/>
      <c r="H1056" s="12"/>
      <c r="I1056" s="609"/>
      <c r="J1056" s="618"/>
      <c r="K1056" s="619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</row>
    <row r="1057">
      <c r="A1057" s="12"/>
      <c r="B1057" s="605"/>
      <c r="C1057" s="12"/>
      <c r="D1057" s="12"/>
      <c r="E1057" s="12"/>
      <c r="F1057" s="12"/>
      <c r="G1057" s="609"/>
      <c r="H1057" s="12"/>
      <c r="I1057" s="609"/>
      <c r="J1057" s="618"/>
      <c r="K1057" s="619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</row>
    <row r="1058">
      <c r="A1058" s="12"/>
      <c r="B1058" s="605"/>
      <c r="C1058" s="12"/>
      <c r="D1058" s="12"/>
      <c r="E1058" s="12"/>
      <c r="F1058" s="12"/>
      <c r="G1058" s="609"/>
      <c r="H1058" s="12"/>
      <c r="I1058" s="609"/>
      <c r="J1058" s="618"/>
      <c r="K1058" s="619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</row>
    <row r="1059">
      <c r="A1059" s="12"/>
      <c r="B1059" s="605"/>
      <c r="C1059" s="12"/>
      <c r="D1059" s="12"/>
      <c r="E1059" s="12"/>
      <c r="F1059" s="12"/>
      <c r="G1059" s="609"/>
      <c r="H1059" s="12"/>
      <c r="I1059" s="609"/>
      <c r="J1059" s="618"/>
      <c r="K1059" s="619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</row>
    <row r="1060">
      <c r="A1060" s="12"/>
      <c r="B1060" s="605"/>
      <c r="C1060" s="12"/>
      <c r="D1060" s="12"/>
      <c r="E1060" s="12"/>
      <c r="F1060" s="12"/>
      <c r="G1060" s="609"/>
      <c r="H1060" s="12"/>
      <c r="I1060" s="609"/>
      <c r="J1060" s="618"/>
      <c r="K1060" s="619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</row>
    <row r="1061">
      <c r="A1061" s="12"/>
      <c r="B1061" s="605"/>
      <c r="C1061" s="12"/>
      <c r="D1061" s="12"/>
      <c r="E1061" s="12"/>
      <c r="F1061" s="12"/>
      <c r="G1061" s="609"/>
      <c r="H1061" s="12"/>
      <c r="I1061" s="609"/>
      <c r="J1061" s="618"/>
      <c r="K1061" s="619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</row>
    <row r="1062">
      <c r="A1062" s="12"/>
      <c r="B1062" s="605"/>
      <c r="C1062" s="12"/>
      <c r="D1062" s="12"/>
      <c r="E1062" s="12"/>
      <c r="F1062" s="12"/>
      <c r="G1062" s="609"/>
      <c r="H1062" s="12"/>
      <c r="I1062" s="609"/>
      <c r="J1062" s="618"/>
      <c r="K1062" s="619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</row>
    <row r="1063">
      <c r="A1063" s="12"/>
      <c r="B1063" s="605"/>
      <c r="C1063" s="12"/>
      <c r="D1063" s="12"/>
      <c r="E1063" s="12"/>
      <c r="F1063" s="12"/>
      <c r="G1063" s="609"/>
      <c r="H1063" s="12"/>
      <c r="I1063" s="609"/>
      <c r="J1063" s="618"/>
      <c r="K1063" s="619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</row>
    <row r="1064">
      <c r="A1064" s="12"/>
      <c r="B1064" s="605"/>
      <c r="C1064" s="12"/>
      <c r="D1064" s="12"/>
      <c r="E1064" s="12"/>
      <c r="F1064" s="12"/>
      <c r="G1064" s="609"/>
      <c r="H1064" s="12"/>
      <c r="I1064" s="609"/>
      <c r="J1064" s="618"/>
      <c r="K1064" s="619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</row>
    <row r="1065">
      <c r="A1065" s="12"/>
      <c r="B1065" s="605"/>
      <c r="C1065" s="12"/>
      <c r="D1065" s="12"/>
      <c r="E1065" s="12"/>
      <c r="F1065" s="12"/>
      <c r="G1065" s="609"/>
      <c r="H1065" s="12"/>
      <c r="I1065" s="609"/>
      <c r="J1065" s="618"/>
      <c r="K1065" s="619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</row>
    <row r="1066">
      <c r="A1066" s="12"/>
      <c r="B1066" s="605"/>
      <c r="C1066" s="12"/>
      <c r="D1066" s="12"/>
      <c r="E1066" s="12"/>
      <c r="F1066" s="12"/>
      <c r="G1066" s="609"/>
      <c r="H1066" s="12"/>
      <c r="I1066" s="609"/>
      <c r="J1066" s="618"/>
      <c r="K1066" s="619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</row>
    <row r="1067">
      <c r="A1067" s="12"/>
      <c r="B1067" s="605"/>
      <c r="C1067" s="12"/>
      <c r="D1067" s="12"/>
      <c r="E1067" s="12"/>
      <c r="F1067" s="12"/>
      <c r="G1067" s="609"/>
      <c r="H1067" s="12"/>
      <c r="I1067" s="609"/>
      <c r="J1067" s="618"/>
      <c r="K1067" s="619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</row>
    <row r="1068">
      <c r="A1068" s="12"/>
      <c r="B1068" s="605"/>
      <c r="C1068" s="12"/>
      <c r="D1068" s="12"/>
      <c r="E1068" s="12"/>
      <c r="F1068" s="12"/>
      <c r="G1068" s="609"/>
      <c r="H1068" s="12"/>
      <c r="I1068" s="609"/>
      <c r="J1068" s="618"/>
      <c r="K1068" s="619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</row>
    <row r="1069">
      <c r="A1069" s="12"/>
      <c r="B1069" s="605"/>
      <c r="C1069" s="12"/>
      <c r="D1069" s="12"/>
      <c r="E1069" s="12"/>
      <c r="F1069" s="12"/>
      <c r="G1069" s="609"/>
      <c r="H1069" s="12"/>
      <c r="I1069" s="609"/>
      <c r="J1069" s="618"/>
      <c r="K1069" s="619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</row>
    <row r="1070">
      <c r="A1070" s="12"/>
      <c r="B1070" s="605"/>
      <c r="C1070" s="12"/>
      <c r="D1070" s="12"/>
      <c r="E1070" s="12"/>
      <c r="F1070" s="12"/>
      <c r="G1070" s="609"/>
      <c r="H1070" s="12"/>
      <c r="I1070" s="609"/>
      <c r="J1070" s="618"/>
      <c r="K1070" s="619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</row>
    <row r="1071">
      <c r="A1071" s="12"/>
      <c r="B1071" s="605"/>
      <c r="C1071" s="12"/>
      <c r="D1071" s="12"/>
      <c r="E1071" s="12"/>
      <c r="F1071" s="12"/>
      <c r="G1071" s="609"/>
      <c r="H1071" s="12"/>
      <c r="I1071" s="609"/>
      <c r="J1071" s="618"/>
      <c r="K1071" s="619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</row>
    <row r="1072">
      <c r="A1072" s="12"/>
      <c r="B1072" s="605"/>
      <c r="C1072" s="12"/>
      <c r="D1072" s="12"/>
      <c r="E1072" s="12"/>
      <c r="F1072" s="12"/>
      <c r="G1072" s="609"/>
      <c r="H1072" s="12"/>
      <c r="I1072" s="609"/>
      <c r="J1072" s="618"/>
      <c r="K1072" s="619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</row>
    <row r="1073">
      <c r="A1073" s="12"/>
      <c r="B1073" s="605"/>
      <c r="C1073" s="12"/>
      <c r="D1073" s="12"/>
      <c r="E1073" s="12"/>
      <c r="F1073" s="12"/>
      <c r="G1073" s="609"/>
      <c r="H1073" s="12"/>
      <c r="I1073" s="609"/>
      <c r="J1073" s="618"/>
      <c r="K1073" s="619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</row>
    <row r="1074">
      <c r="A1074" s="12"/>
      <c r="B1074" s="605"/>
      <c r="C1074" s="12"/>
      <c r="D1074" s="12"/>
      <c r="E1074" s="12"/>
      <c r="F1074" s="12"/>
      <c r="G1074" s="609"/>
      <c r="H1074" s="12"/>
      <c r="I1074" s="609"/>
      <c r="J1074" s="618"/>
      <c r="K1074" s="619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</row>
    <row r="1075">
      <c r="A1075" s="12"/>
      <c r="B1075" s="605"/>
      <c r="C1075" s="12"/>
      <c r="D1075" s="12"/>
      <c r="E1075" s="12"/>
      <c r="F1075" s="12"/>
      <c r="G1075" s="609"/>
      <c r="H1075" s="12"/>
      <c r="I1075" s="609"/>
      <c r="J1075" s="618"/>
      <c r="K1075" s="619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</row>
    <row r="1076">
      <c r="A1076" s="12"/>
      <c r="B1076" s="605"/>
      <c r="C1076" s="12"/>
      <c r="D1076" s="12"/>
      <c r="E1076" s="12"/>
      <c r="F1076" s="12"/>
      <c r="G1076" s="609"/>
      <c r="H1076" s="12"/>
      <c r="I1076" s="609"/>
      <c r="J1076" s="618"/>
      <c r="K1076" s="619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</row>
    <row r="1077">
      <c r="A1077" s="12"/>
      <c r="B1077" s="605"/>
      <c r="C1077" s="12"/>
      <c r="D1077" s="12"/>
      <c r="E1077" s="12"/>
      <c r="F1077" s="12"/>
      <c r="G1077" s="609"/>
      <c r="H1077" s="12"/>
      <c r="I1077" s="609"/>
      <c r="J1077" s="618"/>
      <c r="K1077" s="619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</row>
    <row r="1078">
      <c r="A1078" s="12"/>
      <c r="B1078" s="605"/>
      <c r="C1078" s="12"/>
      <c r="D1078" s="12"/>
      <c r="E1078" s="12"/>
      <c r="F1078" s="12"/>
      <c r="G1078" s="609"/>
      <c r="H1078" s="12"/>
      <c r="I1078" s="609"/>
      <c r="J1078" s="618"/>
      <c r="K1078" s="619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</row>
    <row r="1079">
      <c r="A1079" s="12"/>
      <c r="B1079" s="605"/>
      <c r="C1079" s="12"/>
      <c r="D1079" s="12"/>
      <c r="E1079" s="12"/>
      <c r="F1079" s="12"/>
      <c r="G1079" s="609"/>
      <c r="H1079" s="12"/>
      <c r="I1079" s="609"/>
      <c r="J1079" s="618"/>
      <c r="K1079" s="619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</row>
    <row r="1080">
      <c r="A1080" s="12"/>
      <c r="B1080" s="605"/>
      <c r="C1080" s="12"/>
      <c r="D1080" s="12"/>
      <c r="E1080" s="12"/>
      <c r="F1080" s="12"/>
      <c r="G1080" s="609"/>
      <c r="H1080" s="12"/>
      <c r="I1080" s="609"/>
      <c r="J1080" s="618"/>
      <c r="K1080" s="619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</row>
    <row r="1081">
      <c r="A1081" s="12"/>
      <c r="B1081" s="605"/>
      <c r="C1081" s="12"/>
      <c r="D1081" s="12"/>
      <c r="E1081" s="12"/>
      <c r="F1081" s="12"/>
      <c r="G1081" s="609"/>
      <c r="H1081" s="12"/>
      <c r="I1081" s="609"/>
      <c r="J1081" s="618"/>
      <c r="K1081" s="619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</row>
    <row r="1082">
      <c r="A1082" s="12"/>
      <c r="B1082" s="605"/>
      <c r="C1082" s="12"/>
      <c r="D1082" s="12"/>
      <c r="E1082" s="12"/>
      <c r="F1082" s="12"/>
      <c r="G1082" s="609"/>
      <c r="H1082" s="12"/>
      <c r="I1082" s="609"/>
      <c r="J1082" s="618"/>
      <c r="K1082" s="619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</row>
    <row r="1083">
      <c r="A1083" s="12"/>
      <c r="B1083" s="605"/>
      <c r="C1083" s="12"/>
      <c r="D1083" s="12"/>
      <c r="E1083" s="12"/>
      <c r="F1083" s="12"/>
      <c r="G1083" s="609"/>
      <c r="H1083" s="12"/>
      <c r="I1083" s="609"/>
      <c r="J1083" s="618"/>
      <c r="K1083" s="619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</row>
    <row r="1084">
      <c r="A1084" s="12"/>
      <c r="B1084" s="605"/>
      <c r="C1084" s="12"/>
      <c r="D1084" s="12"/>
      <c r="E1084" s="12"/>
      <c r="F1084" s="12"/>
      <c r="G1084" s="609"/>
      <c r="H1084" s="12"/>
      <c r="I1084" s="609"/>
      <c r="J1084" s="618"/>
      <c r="K1084" s="619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</row>
    <row r="1085">
      <c r="A1085" s="12"/>
      <c r="B1085" s="605"/>
      <c r="C1085" s="12"/>
      <c r="D1085" s="12"/>
      <c r="E1085" s="12"/>
      <c r="F1085" s="12"/>
      <c r="G1085" s="609"/>
      <c r="H1085" s="12"/>
      <c r="I1085" s="609"/>
      <c r="J1085" s="618"/>
      <c r="K1085" s="619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</row>
    <row r="1086">
      <c r="A1086" s="12"/>
      <c r="B1086" s="605"/>
      <c r="C1086" s="12"/>
      <c r="D1086" s="12"/>
      <c r="E1086" s="12"/>
      <c r="F1086" s="12"/>
      <c r="G1086" s="609"/>
      <c r="H1086" s="12"/>
      <c r="I1086" s="609"/>
      <c r="J1086" s="618"/>
      <c r="K1086" s="619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</row>
    <row r="1087">
      <c r="A1087" s="12"/>
      <c r="B1087" s="605"/>
      <c r="C1087" s="12"/>
      <c r="D1087" s="12"/>
      <c r="E1087" s="12"/>
      <c r="F1087" s="12"/>
      <c r="G1087" s="609"/>
      <c r="H1087" s="12"/>
      <c r="I1087" s="609"/>
      <c r="J1087" s="618"/>
      <c r="K1087" s="619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</row>
    <row r="1088">
      <c r="A1088" s="12"/>
      <c r="B1088" s="605"/>
      <c r="C1088" s="12"/>
      <c r="D1088" s="12"/>
      <c r="E1088" s="12"/>
      <c r="F1088" s="12"/>
      <c r="G1088" s="609"/>
      <c r="H1088" s="12"/>
      <c r="I1088" s="609"/>
      <c r="J1088" s="618"/>
      <c r="K1088" s="619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</row>
    <row r="1089">
      <c r="A1089" s="12"/>
      <c r="B1089" s="605"/>
      <c r="C1089" s="12"/>
      <c r="D1089" s="12"/>
      <c r="E1089" s="12"/>
      <c r="F1089" s="12"/>
      <c r="G1089" s="609"/>
      <c r="H1089" s="12"/>
      <c r="I1089" s="609"/>
      <c r="J1089" s="618"/>
      <c r="K1089" s="619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</row>
    <row r="1090">
      <c r="A1090" s="12"/>
      <c r="B1090" s="605"/>
      <c r="C1090" s="12"/>
      <c r="D1090" s="12"/>
      <c r="E1090" s="12"/>
      <c r="F1090" s="12"/>
      <c r="G1090" s="609"/>
      <c r="H1090" s="12"/>
      <c r="I1090" s="609"/>
      <c r="J1090" s="618"/>
      <c r="K1090" s="619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</row>
    <row r="1091">
      <c r="A1091" s="12"/>
      <c r="B1091" s="605"/>
      <c r="C1091" s="12"/>
      <c r="D1091" s="12"/>
      <c r="E1091" s="12"/>
      <c r="F1091" s="12"/>
      <c r="G1091" s="609"/>
      <c r="H1091" s="12"/>
      <c r="I1091" s="609"/>
      <c r="J1091" s="618"/>
      <c r="K1091" s="619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</row>
    <row r="1092">
      <c r="A1092" s="12"/>
      <c r="B1092" s="605"/>
      <c r="C1092" s="12"/>
      <c r="D1092" s="12"/>
      <c r="E1092" s="12"/>
      <c r="F1092" s="12"/>
      <c r="G1092" s="609"/>
      <c r="H1092" s="12"/>
      <c r="I1092" s="609"/>
      <c r="J1092" s="618"/>
      <c r="K1092" s="619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</row>
    <row r="1093">
      <c r="A1093" s="12"/>
      <c r="B1093" s="605"/>
      <c r="C1093" s="12"/>
      <c r="D1093" s="12"/>
      <c r="E1093" s="12"/>
      <c r="F1093" s="12"/>
      <c r="G1093" s="609"/>
      <c r="H1093" s="12"/>
      <c r="I1093" s="609"/>
      <c r="J1093" s="618"/>
      <c r="K1093" s="619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</row>
    <row r="1094">
      <c r="A1094" s="12"/>
      <c r="B1094" s="605"/>
      <c r="C1094" s="12"/>
      <c r="D1094" s="12"/>
      <c r="E1094" s="12"/>
      <c r="F1094" s="12"/>
      <c r="G1094" s="609"/>
      <c r="H1094" s="12"/>
      <c r="I1094" s="609"/>
      <c r="J1094" s="618"/>
      <c r="K1094" s="619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</row>
    <row r="1095">
      <c r="A1095" s="12"/>
      <c r="B1095" s="605"/>
      <c r="C1095" s="12"/>
      <c r="D1095" s="12"/>
      <c r="E1095" s="12"/>
      <c r="F1095" s="12"/>
      <c r="G1095" s="609"/>
      <c r="H1095" s="12"/>
      <c r="I1095" s="609"/>
      <c r="J1095" s="618"/>
      <c r="K1095" s="619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</row>
    <row r="1096">
      <c r="A1096" s="12"/>
      <c r="B1096" s="605"/>
      <c r="C1096" s="12"/>
      <c r="D1096" s="12"/>
      <c r="E1096" s="12"/>
      <c r="F1096" s="12"/>
      <c r="G1096" s="609"/>
      <c r="H1096" s="12"/>
      <c r="I1096" s="609"/>
      <c r="J1096" s="618"/>
      <c r="K1096" s="619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</row>
    <row r="1097">
      <c r="A1097" s="12"/>
      <c r="B1097" s="605"/>
      <c r="C1097" s="12"/>
      <c r="D1097" s="12"/>
      <c r="E1097" s="12"/>
      <c r="F1097" s="12"/>
      <c r="G1097" s="609"/>
      <c r="H1097" s="12"/>
      <c r="I1097" s="609"/>
      <c r="J1097" s="618"/>
      <c r="K1097" s="619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</row>
    <row r="1098">
      <c r="A1098" s="12"/>
      <c r="B1098" s="605"/>
      <c r="C1098" s="12"/>
      <c r="D1098" s="12"/>
      <c r="E1098" s="12"/>
      <c r="F1098" s="12"/>
      <c r="G1098" s="609"/>
      <c r="H1098" s="12"/>
      <c r="I1098" s="609"/>
      <c r="J1098" s="618"/>
      <c r="K1098" s="619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</row>
    <row r="1099">
      <c r="A1099" s="12"/>
      <c r="B1099" s="605"/>
      <c r="C1099" s="12"/>
      <c r="D1099" s="12"/>
      <c r="E1099" s="12"/>
      <c r="F1099" s="12"/>
      <c r="G1099" s="609"/>
      <c r="H1099" s="12"/>
      <c r="I1099" s="609"/>
      <c r="J1099" s="618"/>
      <c r="K1099" s="619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</row>
    <row r="1100">
      <c r="A1100" s="12"/>
      <c r="B1100" s="605"/>
      <c r="C1100" s="12"/>
      <c r="D1100" s="12"/>
      <c r="E1100" s="12"/>
      <c r="F1100" s="12"/>
      <c r="G1100" s="609"/>
      <c r="H1100" s="12"/>
      <c r="I1100" s="609"/>
      <c r="J1100" s="618"/>
      <c r="K1100" s="619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</row>
    <row r="1101">
      <c r="A1101" s="12"/>
      <c r="B1101" s="605"/>
      <c r="C1101" s="12"/>
      <c r="D1101" s="12"/>
      <c r="E1101" s="12"/>
      <c r="F1101" s="12"/>
      <c r="G1101" s="609"/>
      <c r="H1101" s="12"/>
      <c r="I1101" s="609"/>
      <c r="J1101" s="618"/>
      <c r="K1101" s="619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</row>
    <row r="1102">
      <c r="A1102" s="12"/>
      <c r="B1102" s="605"/>
      <c r="C1102" s="12"/>
      <c r="D1102" s="12"/>
      <c r="E1102" s="12"/>
      <c r="F1102" s="12"/>
      <c r="G1102" s="609"/>
      <c r="H1102" s="12"/>
      <c r="I1102" s="609"/>
      <c r="J1102" s="618"/>
      <c r="K1102" s="619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</row>
    <row r="1103">
      <c r="A1103" s="12"/>
      <c r="B1103" s="605"/>
      <c r="C1103" s="12"/>
      <c r="D1103" s="12"/>
      <c r="E1103" s="12"/>
      <c r="F1103" s="12"/>
      <c r="G1103" s="609"/>
      <c r="H1103" s="12"/>
      <c r="I1103" s="609"/>
      <c r="J1103" s="618"/>
      <c r="K1103" s="619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</row>
    <row r="1104">
      <c r="A1104" s="12"/>
      <c r="B1104" s="605"/>
      <c r="C1104" s="12"/>
      <c r="D1104" s="12"/>
      <c r="E1104" s="12"/>
      <c r="F1104" s="12"/>
      <c r="G1104" s="609"/>
      <c r="H1104" s="12"/>
      <c r="I1104" s="609"/>
      <c r="J1104" s="618"/>
      <c r="K1104" s="619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</row>
    <row r="1105">
      <c r="A1105" s="12"/>
      <c r="B1105" s="605"/>
      <c r="C1105" s="12"/>
      <c r="D1105" s="12"/>
      <c r="E1105" s="12"/>
      <c r="F1105" s="12"/>
      <c r="G1105" s="609"/>
      <c r="H1105" s="12"/>
      <c r="I1105" s="609"/>
      <c r="J1105" s="618"/>
      <c r="K1105" s="619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</row>
    <row r="1106">
      <c r="A1106" s="12"/>
      <c r="B1106" s="605"/>
      <c r="C1106" s="12"/>
      <c r="D1106" s="12"/>
      <c r="E1106" s="12"/>
      <c r="F1106" s="12"/>
      <c r="G1106" s="609"/>
      <c r="H1106" s="12"/>
      <c r="I1106" s="609"/>
      <c r="J1106" s="618"/>
      <c r="K1106" s="619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</row>
    <row r="1107">
      <c r="A1107" s="12"/>
      <c r="B1107" s="605"/>
      <c r="C1107" s="12"/>
      <c r="D1107" s="12"/>
      <c r="E1107" s="12"/>
      <c r="F1107" s="12"/>
      <c r="G1107" s="609"/>
      <c r="H1107" s="12"/>
      <c r="I1107" s="609"/>
      <c r="J1107" s="618"/>
      <c r="K1107" s="619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</row>
    <row r="1108">
      <c r="A1108" s="12"/>
      <c r="B1108" s="605"/>
      <c r="C1108" s="12"/>
      <c r="D1108" s="12"/>
      <c r="E1108" s="12"/>
      <c r="F1108" s="12"/>
      <c r="G1108" s="609"/>
      <c r="H1108" s="12"/>
      <c r="I1108" s="609"/>
      <c r="J1108" s="618"/>
      <c r="K1108" s="619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</row>
    <row r="1109">
      <c r="A1109" s="12"/>
      <c r="B1109" s="605"/>
      <c r="C1109" s="12"/>
      <c r="D1109" s="12"/>
      <c r="E1109" s="12"/>
      <c r="F1109" s="12"/>
      <c r="G1109" s="609"/>
      <c r="H1109" s="12"/>
      <c r="I1109" s="609"/>
      <c r="J1109" s="618"/>
      <c r="K1109" s="619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</row>
    <row r="1110">
      <c r="A1110" s="12"/>
      <c r="B1110" s="605"/>
      <c r="C1110" s="12"/>
      <c r="D1110" s="12"/>
      <c r="E1110" s="12"/>
      <c r="F1110" s="12"/>
      <c r="G1110" s="609"/>
      <c r="H1110" s="12"/>
      <c r="I1110" s="609"/>
      <c r="J1110" s="618"/>
      <c r="K1110" s="619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</row>
    <row r="1111">
      <c r="A1111" s="12"/>
      <c r="B1111" s="605"/>
      <c r="C1111" s="12"/>
      <c r="D1111" s="12"/>
      <c r="E1111" s="12"/>
      <c r="F1111" s="12"/>
      <c r="G1111" s="609"/>
      <c r="H1111" s="12"/>
      <c r="I1111" s="609"/>
      <c r="J1111" s="618"/>
      <c r="K1111" s="619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</row>
    <row r="1112">
      <c r="A1112" s="12"/>
      <c r="B1112" s="605"/>
      <c r="C1112" s="12"/>
      <c r="D1112" s="12"/>
      <c r="E1112" s="12"/>
      <c r="F1112" s="12"/>
      <c r="G1112" s="609"/>
      <c r="H1112" s="12"/>
      <c r="I1112" s="609"/>
      <c r="J1112" s="618"/>
      <c r="K1112" s="619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</row>
    <row r="1113">
      <c r="A1113" s="12"/>
      <c r="B1113" s="605"/>
      <c r="C1113" s="12"/>
      <c r="D1113" s="12"/>
      <c r="E1113" s="12"/>
      <c r="F1113" s="12"/>
      <c r="G1113" s="609"/>
      <c r="H1113" s="12"/>
      <c r="I1113" s="609"/>
      <c r="J1113" s="618"/>
      <c r="K1113" s="619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</row>
    <row r="1114">
      <c r="A1114" s="12"/>
      <c r="B1114" s="605"/>
      <c r="C1114" s="12"/>
      <c r="D1114" s="12"/>
      <c r="E1114" s="12"/>
      <c r="F1114" s="12"/>
      <c r="G1114" s="609"/>
      <c r="H1114" s="12"/>
      <c r="I1114" s="609"/>
      <c r="J1114" s="618"/>
      <c r="K1114" s="619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</row>
    <row r="1115">
      <c r="A1115" s="12"/>
      <c r="B1115" s="605"/>
      <c r="C1115" s="12"/>
      <c r="D1115" s="12"/>
      <c r="E1115" s="12"/>
      <c r="F1115" s="12"/>
      <c r="G1115" s="609"/>
      <c r="H1115" s="12"/>
      <c r="I1115" s="609"/>
      <c r="J1115" s="618"/>
      <c r="K1115" s="619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</row>
    <row r="1116">
      <c r="A1116" s="12"/>
      <c r="B1116" s="605"/>
      <c r="C1116" s="12"/>
      <c r="D1116" s="12"/>
      <c r="E1116" s="12"/>
      <c r="F1116" s="12"/>
      <c r="G1116" s="609"/>
      <c r="H1116" s="12"/>
      <c r="I1116" s="609"/>
      <c r="J1116" s="618"/>
      <c r="K1116" s="619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</row>
    <row r="1117">
      <c r="A1117" s="12"/>
      <c r="B1117" s="605"/>
      <c r="C1117" s="12"/>
      <c r="D1117" s="12"/>
      <c r="E1117" s="12"/>
      <c r="F1117" s="12"/>
      <c r="G1117" s="609"/>
      <c r="H1117" s="12"/>
      <c r="I1117" s="609"/>
      <c r="J1117" s="618"/>
      <c r="K1117" s="619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</row>
    <row r="1118">
      <c r="A1118" s="12"/>
      <c r="B1118" s="605"/>
      <c r="C1118" s="12"/>
      <c r="D1118" s="12"/>
      <c r="E1118" s="12"/>
      <c r="F1118" s="12"/>
      <c r="G1118" s="609"/>
      <c r="H1118" s="12"/>
      <c r="I1118" s="609"/>
      <c r="J1118" s="618"/>
      <c r="K1118" s="619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</row>
    <row r="1119">
      <c r="A1119" s="12"/>
      <c r="B1119" s="605"/>
      <c r="C1119" s="12"/>
      <c r="D1119" s="12"/>
      <c r="E1119" s="12"/>
      <c r="F1119" s="12"/>
      <c r="G1119" s="609"/>
      <c r="H1119" s="12"/>
      <c r="I1119" s="609"/>
      <c r="J1119" s="618"/>
      <c r="K1119" s="619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</row>
    <row r="1120">
      <c r="A1120" s="12"/>
      <c r="B1120" s="605"/>
      <c r="C1120" s="12"/>
      <c r="D1120" s="12"/>
      <c r="E1120" s="12"/>
      <c r="F1120" s="12"/>
      <c r="G1120" s="609"/>
      <c r="H1120" s="12"/>
      <c r="I1120" s="609"/>
      <c r="J1120" s="618"/>
      <c r="K1120" s="619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</row>
    <row r="1121">
      <c r="A1121" s="12"/>
      <c r="B1121" s="605"/>
      <c r="C1121" s="12"/>
      <c r="D1121" s="12"/>
      <c r="E1121" s="12"/>
      <c r="F1121" s="12"/>
      <c r="G1121" s="609"/>
      <c r="H1121" s="12"/>
      <c r="I1121" s="609"/>
      <c r="J1121" s="618"/>
      <c r="K1121" s="619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</row>
    <row r="1122">
      <c r="A1122" s="12"/>
      <c r="B1122" s="605"/>
      <c r="C1122" s="12"/>
      <c r="D1122" s="12"/>
      <c r="E1122" s="12"/>
      <c r="F1122" s="12"/>
      <c r="G1122" s="609"/>
      <c r="H1122" s="12"/>
      <c r="I1122" s="609"/>
      <c r="J1122" s="618"/>
      <c r="K1122" s="619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</row>
    <row r="1123">
      <c r="A1123" s="12"/>
      <c r="B1123" s="605"/>
      <c r="C1123" s="12"/>
      <c r="D1123" s="12"/>
      <c r="E1123" s="12"/>
      <c r="F1123" s="12"/>
      <c r="G1123" s="609"/>
      <c r="H1123" s="12"/>
      <c r="I1123" s="609"/>
      <c r="J1123" s="618"/>
      <c r="K1123" s="619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</row>
    <row r="1124">
      <c r="A1124" s="12"/>
      <c r="B1124" s="605"/>
      <c r="C1124" s="12"/>
      <c r="D1124" s="12"/>
      <c r="E1124" s="12"/>
      <c r="F1124" s="12"/>
      <c r="G1124" s="609"/>
      <c r="H1124" s="12"/>
      <c r="I1124" s="609"/>
      <c r="J1124" s="618"/>
      <c r="K1124" s="619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</row>
    <row r="1125">
      <c r="A1125" s="12"/>
      <c r="B1125" s="605"/>
      <c r="C1125" s="12"/>
      <c r="D1125" s="12"/>
      <c r="E1125" s="12"/>
      <c r="F1125" s="12"/>
      <c r="G1125" s="609"/>
      <c r="H1125" s="12"/>
      <c r="I1125" s="609"/>
      <c r="J1125" s="618"/>
      <c r="K1125" s="619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</row>
    <row r="1126">
      <c r="A1126" s="12"/>
      <c r="B1126" s="605"/>
      <c r="C1126" s="12"/>
      <c r="D1126" s="12"/>
      <c r="E1126" s="12"/>
      <c r="F1126" s="12"/>
      <c r="G1126" s="609"/>
      <c r="H1126" s="12"/>
      <c r="I1126" s="609"/>
      <c r="J1126" s="618"/>
      <c r="K1126" s="619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</row>
    <row r="1127">
      <c r="A1127" s="12"/>
      <c r="B1127" s="605"/>
      <c r="C1127" s="12"/>
      <c r="D1127" s="12"/>
      <c r="E1127" s="12"/>
      <c r="F1127" s="12"/>
      <c r="G1127" s="609"/>
      <c r="H1127" s="12"/>
      <c r="I1127" s="609"/>
      <c r="J1127" s="618"/>
      <c r="K1127" s="619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</row>
    <row r="1128">
      <c r="A1128" s="12"/>
      <c r="B1128" s="605"/>
      <c r="C1128" s="12"/>
      <c r="D1128" s="12"/>
      <c r="E1128" s="12"/>
      <c r="F1128" s="12"/>
      <c r="G1128" s="609"/>
      <c r="H1128" s="12"/>
      <c r="I1128" s="609"/>
      <c r="J1128" s="618"/>
      <c r="K1128" s="619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</row>
    <row r="1129">
      <c r="A1129" s="12"/>
      <c r="B1129" s="605"/>
      <c r="C1129" s="12"/>
      <c r="D1129" s="12"/>
      <c r="E1129" s="12"/>
      <c r="F1129" s="12"/>
      <c r="G1129" s="609"/>
      <c r="H1129" s="12"/>
      <c r="I1129" s="609"/>
      <c r="J1129" s="618"/>
      <c r="K1129" s="619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</row>
    <row r="1130">
      <c r="A1130" s="12"/>
      <c r="B1130" s="605"/>
      <c r="C1130" s="12"/>
      <c r="D1130" s="12"/>
      <c r="E1130" s="12"/>
      <c r="F1130" s="12"/>
      <c r="G1130" s="609"/>
      <c r="H1130" s="12"/>
      <c r="I1130" s="609"/>
      <c r="J1130" s="618"/>
      <c r="K1130" s="619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</row>
    <row r="1131">
      <c r="A1131" s="12"/>
      <c r="B1131" s="605"/>
      <c r="C1131" s="12"/>
      <c r="D1131" s="12"/>
      <c r="E1131" s="12"/>
      <c r="F1131" s="12"/>
      <c r="G1131" s="609"/>
      <c r="H1131" s="12"/>
      <c r="I1131" s="609"/>
      <c r="J1131" s="618"/>
      <c r="K1131" s="619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</row>
    <row r="1132">
      <c r="A1132" s="12"/>
      <c r="B1132" s="605"/>
      <c r="C1132" s="12"/>
      <c r="D1132" s="12"/>
      <c r="E1132" s="12"/>
      <c r="F1132" s="12"/>
      <c r="G1132" s="609"/>
      <c r="H1132" s="12"/>
      <c r="I1132" s="609"/>
      <c r="J1132" s="618"/>
      <c r="K1132" s="619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</row>
    <row r="1133">
      <c r="A1133" s="12"/>
      <c r="B1133" s="605"/>
      <c r="C1133" s="12"/>
      <c r="D1133" s="12"/>
      <c r="E1133" s="12"/>
      <c r="F1133" s="12"/>
      <c r="G1133" s="609"/>
      <c r="H1133" s="12"/>
      <c r="I1133" s="609"/>
      <c r="J1133" s="618"/>
      <c r="K1133" s="619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</row>
    <row r="1134">
      <c r="A1134" s="12"/>
      <c r="B1134" s="605"/>
      <c r="C1134" s="12"/>
      <c r="D1134" s="12"/>
      <c r="E1134" s="12"/>
      <c r="F1134" s="12"/>
      <c r="G1134" s="609"/>
      <c r="H1134" s="12"/>
      <c r="I1134" s="609"/>
      <c r="J1134" s="618"/>
      <c r="K1134" s="619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</row>
    <row r="1135">
      <c r="A1135" s="12"/>
      <c r="B1135" s="605"/>
      <c r="C1135" s="12"/>
      <c r="D1135" s="12"/>
      <c r="E1135" s="12"/>
      <c r="F1135" s="12"/>
      <c r="G1135" s="609"/>
      <c r="H1135" s="12"/>
      <c r="I1135" s="609"/>
      <c r="J1135" s="618"/>
      <c r="K1135" s="619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</row>
    <row r="1136">
      <c r="A1136" s="12"/>
      <c r="B1136" s="605"/>
      <c r="C1136" s="12"/>
      <c r="D1136" s="12"/>
      <c r="E1136" s="12"/>
      <c r="F1136" s="12"/>
      <c r="G1136" s="609"/>
      <c r="H1136" s="12"/>
      <c r="I1136" s="609"/>
      <c r="J1136" s="618"/>
      <c r="K1136" s="619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</row>
    <row r="1137">
      <c r="A1137" s="12"/>
      <c r="B1137" s="605"/>
      <c r="C1137" s="12"/>
      <c r="D1137" s="12"/>
      <c r="E1137" s="12"/>
      <c r="F1137" s="12"/>
      <c r="G1137" s="609"/>
      <c r="H1137" s="12"/>
      <c r="I1137" s="609"/>
      <c r="J1137" s="618"/>
      <c r="K1137" s="619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</row>
    <row r="1138">
      <c r="A1138" s="12"/>
      <c r="B1138" s="605"/>
      <c r="C1138" s="12"/>
      <c r="D1138" s="12"/>
      <c r="E1138" s="12"/>
      <c r="F1138" s="12"/>
      <c r="G1138" s="609"/>
      <c r="H1138" s="12"/>
      <c r="I1138" s="609"/>
      <c r="J1138" s="618"/>
      <c r="K1138" s="619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</row>
    <row r="1139">
      <c r="A1139" s="12"/>
      <c r="B1139" s="605"/>
      <c r="C1139" s="12"/>
      <c r="D1139" s="12"/>
      <c r="E1139" s="12"/>
      <c r="F1139" s="12"/>
      <c r="G1139" s="609"/>
      <c r="H1139" s="12"/>
      <c r="I1139" s="609"/>
      <c r="J1139" s="618"/>
      <c r="K1139" s="619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</row>
    <row r="1140">
      <c r="A1140" s="12"/>
      <c r="B1140" s="605"/>
      <c r="C1140" s="12"/>
      <c r="D1140" s="12"/>
      <c r="E1140" s="12"/>
      <c r="F1140" s="12"/>
      <c r="G1140" s="609"/>
      <c r="H1140" s="12"/>
      <c r="I1140" s="609"/>
      <c r="J1140" s="618"/>
      <c r="K1140" s="619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</row>
    <row r="1141">
      <c r="A1141" s="12"/>
      <c r="B1141" s="605"/>
      <c r="C1141" s="12"/>
      <c r="D1141" s="12"/>
      <c r="E1141" s="12"/>
      <c r="F1141" s="12"/>
      <c r="G1141" s="609"/>
      <c r="H1141" s="12"/>
      <c r="I1141" s="609"/>
      <c r="J1141" s="618"/>
      <c r="K1141" s="619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</row>
    <row r="1142">
      <c r="A1142" s="12"/>
      <c r="B1142" s="605"/>
      <c r="C1142" s="12"/>
      <c r="D1142" s="12"/>
      <c r="E1142" s="12"/>
      <c r="F1142" s="12"/>
      <c r="G1142" s="609"/>
      <c r="H1142" s="12"/>
      <c r="I1142" s="609"/>
      <c r="J1142" s="618"/>
      <c r="K1142" s="619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</row>
    <row r="1143">
      <c r="A1143" s="12"/>
      <c r="B1143" s="605"/>
      <c r="C1143" s="12"/>
      <c r="D1143" s="12"/>
      <c r="E1143" s="12"/>
      <c r="F1143" s="12"/>
      <c r="G1143" s="609"/>
      <c r="H1143" s="12"/>
      <c r="I1143" s="609"/>
      <c r="J1143" s="618"/>
      <c r="K1143" s="619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</row>
    <row r="1144">
      <c r="A1144" s="12"/>
      <c r="B1144" s="605"/>
      <c r="C1144" s="12"/>
      <c r="D1144" s="12"/>
      <c r="E1144" s="12"/>
      <c r="F1144" s="12"/>
      <c r="G1144" s="609"/>
      <c r="H1144" s="12"/>
      <c r="I1144" s="609"/>
      <c r="J1144" s="618"/>
      <c r="K1144" s="619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</row>
    <row r="1145">
      <c r="A1145" s="12"/>
      <c r="B1145" s="605"/>
      <c r="C1145" s="12"/>
      <c r="D1145" s="12"/>
      <c r="E1145" s="12"/>
      <c r="F1145" s="12"/>
      <c r="G1145" s="609"/>
      <c r="H1145" s="12"/>
      <c r="I1145" s="609"/>
      <c r="J1145" s="618"/>
      <c r="K1145" s="619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</row>
    <row r="1146">
      <c r="A1146" s="12"/>
      <c r="B1146" s="605"/>
      <c r="C1146" s="12"/>
      <c r="D1146" s="12"/>
      <c r="E1146" s="12"/>
      <c r="F1146" s="12"/>
      <c r="G1146" s="609"/>
      <c r="H1146" s="12"/>
      <c r="I1146" s="609"/>
      <c r="J1146" s="618"/>
      <c r="K1146" s="619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</row>
    <row r="1147">
      <c r="A1147" s="12"/>
      <c r="B1147" s="605"/>
      <c r="C1147" s="12"/>
      <c r="D1147" s="12"/>
      <c r="E1147" s="12"/>
      <c r="F1147" s="12"/>
      <c r="G1147" s="609"/>
      <c r="H1147" s="12"/>
      <c r="I1147" s="609"/>
      <c r="J1147" s="618"/>
      <c r="K1147" s="619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</row>
    <row r="1148">
      <c r="A1148" s="12"/>
      <c r="B1148" s="605"/>
      <c r="C1148" s="12"/>
      <c r="D1148" s="12"/>
      <c r="E1148" s="12"/>
      <c r="F1148" s="12"/>
      <c r="G1148" s="609"/>
      <c r="H1148" s="12"/>
      <c r="I1148" s="609"/>
      <c r="J1148" s="618"/>
      <c r="K1148" s="619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</row>
    <row r="1149">
      <c r="A1149" s="12"/>
      <c r="B1149" s="605"/>
      <c r="C1149" s="12"/>
      <c r="D1149" s="12"/>
      <c r="E1149" s="12"/>
      <c r="F1149" s="12"/>
      <c r="G1149" s="609"/>
      <c r="H1149" s="12"/>
      <c r="I1149" s="609"/>
      <c r="J1149" s="618"/>
      <c r="K1149" s="619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</row>
    <row r="1150">
      <c r="A1150" s="12"/>
      <c r="B1150" s="605"/>
      <c r="C1150" s="12"/>
      <c r="D1150" s="12"/>
      <c r="E1150" s="12"/>
      <c r="F1150" s="12"/>
      <c r="G1150" s="609"/>
      <c r="H1150" s="12"/>
      <c r="I1150" s="609"/>
      <c r="J1150" s="618"/>
      <c r="K1150" s="619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</row>
    <row r="1151">
      <c r="A1151" s="12"/>
      <c r="B1151" s="605"/>
      <c r="C1151" s="12"/>
      <c r="D1151" s="12"/>
      <c r="E1151" s="12"/>
      <c r="F1151" s="12"/>
      <c r="G1151" s="609"/>
      <c r="H1151" s="12"/>
      <c r="I1151" s="609"/>
      <c r="J1151" s="618"/>
      <c r="K1151" s="619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</row>
    <row r="1152">
      <c r="A1152" s="12"/>
      <c r="B1152" s="605"/>
      <c r="C1152" s="12"/>
      <c r="D1152" s="12"/>
      <c r="E1152" s="12"/>
      <c r="F1152" s="12"/>
      <c r="G1152" s="609"/>
      <c r="H1152" s="12"/>
      <c r="I1152" s="609"/>
      <c r="J1152" s="618"/>
      <c r="K1152" s="619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</row>
    <row r="1153">
      <c r="A1153" s="12"/>
      <c r="B1153" s="605"/>
      <c r="C1153" s="12"/>
      <c r="D1153" s="12"/>
      <c r="E1153" s="12"/>
      <c r="F1153" s="12"/>
      <c r="G1153" s="609"/>
      <c r="H1153" s="12"/>
      <c r="I1153" s="609"/>
      <c r="J1153" s="618"/>
      <c r="K1153" s="619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</row>
    <row r="1154">
      <c r="A1154" s="12"/>
      <c r="B1154" s="605"/>
      <c r="C1154" s="12"/>
      <c r="D1154" s="12"/>
      <c r="E1154" s="12"/>
      <c r="F1154" s="12"/>
      <c r="G1154" s="609"/>
      <c r="H1154" s="12"/>
      <c r="I1154" s="609"/>
      <c r="J1154" s="618"/>
      <c r="K1154" s="619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</row>
    <row r="1155">
      <c r="A1155" s="12"/>
      <c r="B1155" s="605"/>
      <c r="C1155" s="12"/>
      <c r="D1155" s="12"/>
      <c r="E1155" s="12"/>
      <c r="F1155" s="12"/>
      <c r="G1155" s="609"/>
      <c r="H1155" s="12"/>
      <c r="I1155" s="609"/>
      <c r="J1155" s="618"/>
      <c r="K1155" s="619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</row>
    <row r="1156">
      <c r="A1156" s="12"/>
      <c r="B1156" s="605"/>
      <c r="C1156" s="12"/>
      <c r="D1156" s="12"/>
      <c r="E1156" s="12"/>
      <c r="F1156" s="12"/>
      <c r="G1156" s="609"/>
      <c r="H1156" s="12"/>
      <c r="I1156" s="609"/>
      <c r="J1156" s="618"/>
      <c r="K1156" s="619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</row>
    <row r="1157">
      <c r="A1157" s="12"/>
      <c r="B1157" s="605"/>
      <c r="C1157" s="12"/>
      <c r="D1157" s="12"/>
      <c r="E1157" s="12"/>
      <c r="F1157" s="12"/>
      <c r="G1157" s="609"/>
      <c r="H1157" s="12"/>
      <c r="I1157" s="609"/>
      <c r="J1157" s="618"/>
      <c r="K1157" s="619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</row>
    <row r="1158">
      <c r="A1158" s="12"/>
      <c r="B1158" s="605"/>
      <c r="C1158" s="12"/>
      <c r="D1158" s="12"/>
      <c r="E1158" s="12"/>
      <c r="F1158" s="12"/>
      <c r="G1158" s="609"/>
      <c r="H1158" s="12"/>
      <c r="I1158" s="609"/>
      <c r="J1158" s="618"/>
      <c r="K1158" s="619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</row>
    <row r="1159">
      <c r="A1159" s="12"/>
      <c r="B1159" s="605"/>
      <c r="C1159" s="12"/>
      <c r="D1159" s="12"/>
      <c r="E1159" s="12"/>
      <c r="F1159" s="12"/>
      <c r="G1159" s="609"/>
      <c r="H1159" s="12"/>
      <c r="I1159" s="609"/>
      <c r="J1159" s="618"/>
      <c r="K1159" s="619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</row>
    <row r="1160">
      <c r="A1160" s="12"/>
      <c r="B1160" s="605"/>
      <c r="C1160" s="12"/>
      <c r="D1160" s="12"/>
      <c r="E1160" s="12"/>
      <c r="F1160" s="12"/>
      <c r="G1160" s="609"/>
      <c r="H1160" s="12"/>
      <c r="I1160" s="609"/>
      <c r="J1160" s="618"/>
      <c r="K1160" s="619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</row>
    <row r="1161">
      <c r="A1161" s="12"/>
      <c r="B1161" s="605"/>
      <c r="C1161" s="12"/>
      <c r="D1161" s="12"/>
      <c r="E1161" s="12"/>
      <c r="F1161" s="12"/>
      <c r="G1161" s="609"/>
      <c r="H1161" s="12"/>
      <c r="I1161" s="609"/>
      <c r="J1161" s="618"/>
      <c r="K1161" s="619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</row>
    <row r="1162">
      <c r="A1162" s="12"/>
      <c r="B1162" s="605"/>
      <c r="C1162" s="12"/>
      <c r="D1162" s="12"/>
      <c r="E1162" s="12"/>
      <c r="F1162" s="12"/>
      <c r="G1162" s="609"/>
      <c r="H1162" s="12"/>
      <c r="I1162" s="609"/>
      <c r="J1162" s="618"/>
      <c r="K1162" s="619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</row>
    <row r="1163">
      <c r="A1163" s="12"/>
      <c r="B1163" s="605"/>
      <c r="C1163" s="12"/>
      <c r="D1163" s="12"/>
      <c r="E1163" s="12"/>
      <c r="F1163" s="12"/>
      <c r="G1163" s="609"/>
      <c r="H1163" s="12"/>
      <c r="I1163" s="609"/>
      <c r="J1163" s="618"/>
      <c r="K1163" s="619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</row>
    <row r="1164">
      <c r="A1164" s="12"/>
      <c r="B1164" s="605"/>
      <c r="C1164" s="12"/>
      <c r="D1164" s="12"/>
      <c r="E1164" s="12"/>
      <c r="F1164" s="12"/>
      <c r="G1164" s="609"/>
      <c r="H1164" s="12"/>
      <c r="I1164" s="609"/>
      <c r="J1164" s="618"/>
      <c r="K1164" s="619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</row>
    <row r="1165">
      <c r="A1165" s="12"/>
      <c r="B1165" s="605"/>
      <c r="C1165" s="12"/>
      <c r="D1165" s="12"/>
      <c r="E1165" s="12"/>
      <c r="F1165" s="12"/>
      <c r="G1165" s="609"/>
      <c r="H1165" s="12"/>
      <c r="I1165" s="609"/>
      <c r="J1165" s="618"/>
      <c r="K1165" s="619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</row>
    <row r="1166">
      <c r="A1166" s="12"/>
      <c r="B1166" s="605"/>
      <c r="C1166" s="12"/>
      <c r="D1166" s="12"/>
      <c r="E1166" s="12"/>
      <c r="F1166" s="12"/>
      <c r="G1166" s="609"/>
      <c r="H1166" s="12"/>
      <c r="I1166" s="609"/>
      <c r="J1166" s="618"/>
      <c r="K1166" s="619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</row>
    <row r="1167">
      <c r="A1167" s="12"/>
      <c r="B1167" s="605"/>
      <c r="C1167" s="12"/>
      <c r="D1167" s="12"/>
      <c r="E1167" s="12"/>
      <c r="F1167" s="12"/>
      <c r="G1167" s="609"/>
      <c r="H1167" s="12"/>
      <c r="I1167" s="609"/>
      <c r="J1167" s="618"/>
      <c r="K1167" s="619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</row>
    <row r="1168">
      <c r="A1168" s="12"/>
      <c r="B1168" s="605"/>
      <c r="C1168" s="12"/>
      <c r="D1168" s="12"/>
      <c r="E1168" s="12"/>
      <c r="F1168" s="12"/>
      <c r="G1168" s="609"/>
      <c r="H1168" s="12"/>
      <c r="I1168" s="609"/>
      <c r="J1168" s="618"/>
      <c r="K1168" s="619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</row>
    <row r="1169">
      <c r="A1169" s="12"/>
      <c r="B1169" s="605"/>
      <c r="C1169" s="12"/>
      <c r="D1169" s="12"/>
      <c r="E1169" s="12"/>
      <c r="F1169" s="12"/>
      <c r="G1169" s="609"/>
      <c r="H1169" s="12"/>
      <c r="I1169" s="609"/>
      <c r="J1169" s="618"/>
      <c r="K1169" s="619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</row>
    <row r="1170">
      <c r="A1170" s="12"/>
      <c r="B1170" s="605"/>
      <c r="C1170" s="12"/>
      <c r="D1170" s="12"/>
      <c r="E1170" s="12"/>
      <c r="F1170" s="12"/>
      <c r="G1170" s="609"/>
      <c r="H1170" s="12"/>
      <c r="I1170" s="609"/>
      <c r="J1170" s="618"/>
      <c r="K1170" s="619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</row>
    <row r="1171">
      <c r="A1171" s="12"/>
      <c r="B1171" s="605"/>
      <c r="C1171" s="12"/>
      <c r="D1171" s="12"/>
      <c r="E1171" s="12"/>
      <c r="F1171" s="12"/>
      <c r="G1171" s="609"/>
      <c r="H1171" s="12"/>
      <c r="I1171" s="609"/>
      <c r="J1171" s="618"/>
      <c r="K1171" s="619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</row>
    <row r="1172">
      <c r="A1172" s="12"/>
      <c r="B1172" s="605"/>
      <c r="C1172" s="12"/>
      <c r="D1172" s="12"/>
      <c r="E1172" s="12"/>
      <c r="F1172" s="12"/>
      <c r="G1172" s="609"/>
      <c r="H1172" s="12"/>
      <c r="I1172" s="609"/>
      <c r="J1172" s="618"/>
      <c r="K1172" s="619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</row>
    <row r="1173">
      <c r="A1173" s="12"/>
      <c r="B1173" s="605"/>
      <c r="C1173" s="12"/>
      <c r="D1173" s="12"/>
      <c r="E1173" s="12"/>
      <c r="F1173" s="12"/>
      <c r="G1173" s="609"/>
      <c r="H1173" s="12"/>
      <c r="I1173" s="609"/>
      <c r="J1173" s="618"/>
      <c r="K1173" s="619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</row>
    <row r="1174">
      <c r="A1174" s="12"/>
      <c r="B1174" s="605"/>
      <c r="C1174" s="12"/>
      <c r="D1174" s="12"/>
      <c r="E1174" s="12"/>
      <c r="F1174" s="12"/>
      <c r="G1174" s="609"/>
      <c r="H1174" s="12"/>
      <c r="I1174" s="609"/>
      <c r="J1174" s="618"/>
      <c r="K1174" s="619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</row>
    <row r="1175">
      <c r="A1175" s="12"/>
      <c r="B1175" s="605"/>
      <c r="C1175" s="12"/>
      <c r="D1175" s="12"/>
      <c r="E1175" s="12"/>
      <c r="F1175" s="12"/>
      <c r="G1175" s="609"/>
      <c r="H1175" s="12"/>
      <c r="I1175" s="609"/>
      <c r="J1175" s="618"/>
      <c r="K1175" s="619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</row>
    <row r="1176">
      <c r="A1176" s="12"/>
      <c r="B1176" s="605"/>
      <c r="C1176" s="12"/>
      <c r="D1176" s="12"/>
      <c r="E1176" s="12"/>
      <c r="F1176" s="12"/>
      <c r="G1176" s="609"/>
      <c r="H1176" s="12"/>
      <c r="I1176" s="609"/>
      <c r="J1176" s="618"/>
      <c r="K1176" s="619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</row>
    <row r="1177">
      <c r="A1177" s="12"/>
      <c r="B1177" s="605"/>
      <c r="C1177" s="12"/>
      <c r="D1177" s="12"/>
      <c r="E1177" s="12"/>
      <c r="F1177" s="12"/>
      <c r="G1177" s="609"/>
      <c r="H1177" s="12"/>
      <c r="I1177" s="609"/>
      <c r="J1177" s="618"/>
      <c r="K1177" s="619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</row>
    <row r="1178">
      <c r="A1178" s="12"/>
      <c r="B1178" s="605"/>
      <c r="C1178" s="12"/>
      <c r="D1178" s="12"/>
      <c r="E1178" s="12"/>
      <c r="F1178" s="12"/>
      <c r="G1178" s="609"/>
      <c r="H1178" s="12"/>
      <c r="I1178" s="609"/>
      <c r="J1178" s="618"/>
      <c r="K1178" s="619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</row>
    <row r="1179">
      <c r="A1179" s="12"/>
      <c r="B1179" s="605"/>
      <c r="C1179" s="12"/>
      <c r="D1179" s="12"/>
      <c r="E1179" s="12"/>
      <c r="F1179" s="12"/>
      <c r="G1179" s="609"/>
      <c r="H1179" s="12"/>
      <c r="I1179" s="609"/>
      <c r="J1179" s="618"/>
      <c r="K1179" s="619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</row>
    <row r="1180">
      <c r="A1180" s="12"/>
      <c r="B1180" s="605"/>
      <c r="C1180" s="12"/>
      <c r="D1180" s="12"/>
      <c r="E1180" s="12"/>
      <c r="F1180" s="12"/>
      <c r="G1180" s="609"/>
      <c r="H1180" s="12"/>
      <c r="I1180" s="609"/>
      <c r="J1180" s="618"/>
      <c r="K1180" s="619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</row>
    <row r="1181">
      <c r="A1181" s="12"/>
      <c r="B1181" s="605"/>
      <c r="C1181" s="12"/>
      <c r="D1181" s="12"/>
      <c r="E1181" s="12"/>
      <c r="F1181" s="12"/>
      <c r="G1181" s="609"/>
      <c r="H1181" s="12"/>
      <c r="I1181" s="609"/>
      <c r="J1181" s="618"/>
      <c r="K1181" s="619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</row>
    <row r="1182">
      <c r="A1182" s="12"/>
      <c r="B1182" s="605"/>
      <c r="C1182" s="12"/>
      <c r="D1182" s="12"/>
      <c r="E1182" s="12"/>
      <c r="F1182" s="12"/>
      <c r="G1182" s="609"/>
      <c r="H1182" s="12"/>
      <c r="I1182" s="609"/>
      <c r="J1182" s="618"/>
      <c r="K1182" s="619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</row>
    <row r="1183">
      <c r="A1183" s="12"/>
      <c r="B1183" s="605"/>
      <c r="C1183" s="12"/>
      <c r="D1183" s="12"/>
      <c r="E1183" s="12"/>
      <c r="F1183" s="12"/>
      <c r="G1183" s="609"/>
      <c r="H1183" s="12"/>
      <c r="I1183" s="609"/>
      <c r="J1183" s="618"/>
      <c r="K1183" s="619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</row>
    <row r="1184">
      <c r="A1184" s="12"/>
      <c r="B1184" s="605"/>
      <c r="C1184" s="12"/>
      <c r="D1184" s="12"/>
      <c r="E1184" s="12"/>
      <c r="F1184" s="12"/>
      <c r="G1184" s="609"/>
      <c r="H1184" s="12"/>
      <c r="I1184" s="609"/>
      <c r="J1184" s="618"/>
      <c r="K1184" s="619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</row>
    <row r="1185">
      <c r="A1185" s="12"/>
      <c r="B1185" s="605"/>
      <c r="C1185" s="12"/>
      <c r="D1185" s="12"/>
      <c r="E1185" s="12"/>
      <c r="F1185" s="12"/>
      <c r="G1185" s="609"/>
      <c r="H1185" s="12"/>
      <c r="I1185" s="609"/>
      <c r="J1185" s="618"/>
      <c r="K1185" s="619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</row>
    <row r="1186">
      <c r="A1186" s="12"/>
      <c r="B1186" s="605"/>
      <c r="C1186" s="12"/>
      <c r="D1186" s="12"/>
      <c r="E1186" s="12"/>
      <c r="F1186" s="12"/>
      <c r="G1186" s="609"/>
      <c r="H1186" s="12"/>
      <c r="I1186" s="609"/>
      <c r="J1186" s="618"/>
      <c r="K1186" s="619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</row>
    <row r="1187">
      <c r="A1187" s="12"/>
      <c r="B1187" s="605"/>
      <c r="C1187" s="12"/>
      <c r="D1187" s="12"/>
      <c r="E1187" s="12"/>
      <c r="F1187" s="12"/>
      <c r="G1187" s="609"/>
      <c r="H1187" s="12"/>
      <c r="I1187" s="609"/>
      <c r="J1187" s="618"/>
      <c r="K1187" s="619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</row>
    <row r="1188">
      <c r="A1188" s="12"/>
      <c r="B1188" s="605"/>
      <c r="C1188" s="12"/>
      <c r="D1188" s="12"/>
      <c r="E1188" s="12"/>
      <c r="F1188" s="12"/>
      <c r="G1188" s="609"/>
      <c r="H1188" s="12"/>
      <c r="I1188" s="609"/>
      <c r="J1188" s="618"/>
      <c r="K1188" s="619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</row>
    <row r="1189">
      <c r="A1189" s="12"/>
      <c r="B1189" s="605"/>
      <c r="C1189" s="12"/>
      <c r="D1189" s="12"/>
      <c r="E1189" s="12"/>
      <c r="F1189" s="12"/>
      <c r="G1189" s="609"/>
      <c r="H1189" s="12"/>
      <c r="I1189" s="609"/>
      <c r="J1189" s="618"/>
      <c r="K1189" s="619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</row>
    <row r="1190">
      <c r="A1190" s="12"/>
      <c r="B1190" s="605"/>
      <c r="C1190" s="12"/>
      <c r="D1190" s="12"/>
      <c r="E1190" s="12"/>
      <c r="F1190" s="12"/>
      <c r="G1190" s="609"/>
      <c r="H1190" s="12"/>
      <c r="I1190" s="609"/>
      <c r="J1190" s="618"/>
      <c r="K1190" s="619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</row>
    <row r="1191">
      <c r="A1191" s="12"/>
      <c r="B1191" s="605"/>
      <c r="C1191" s="12"/>
      <c r="D1191" s="12"/>
      <c r="E1191" s="12"/>
      <c r="F1191" s="12"/>
      <c r="G1191" s="609"/>
      <c r="H1191" s="12"/>
      <c r="I1191" s="609"/>
      <c r="J1191" s="618"/>
      <c r="K1191" s="619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</row>
    <row r="1192">
      <c r="A1192" s="12"/>
      <c r="B1192" s="605"/>
      <c r="C1192" s="12"/>
      <c r="D1192" s="12"/>
      <c r="E1192" s="12"/>
      <c r="F1192" s="12"/>
      <c r="G1192" s="609"/>
      <c r="H1192" s="12"/>
      <c r="I1192" s="609"/>
      <c r="J1192" s="618"/>
      <c r="K1192" s="619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</row>
    <row r="1193">
      <c r="A1193" s="12"/>
      <c r="B1193" s="605"/>
      <c r="C1193" s="12"/>
      <c r="D1193" s="12"/>
      <c r="E1193" s="12"/>
      <c r="F1193" s="12"/>
      <c r="G1193" s="609"/>
      <c r="H1193" s="12"/>
      <c r="I1193" s="609"/>
      <c r="J1193" s="618"/>
      <c r="K1193" s="619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</row>
    <row r="1194">
      <c r="A1194" s="12"/>
      <c r="B1194" s="605"/>
      <c r="C1194" s="12"/>
      <c r="D1194" s="12"/>
      <c r="E1194" s="12"/>
      <c r="F1194" s="12"/>
      <c r="G1194" s="609"/>
      <c r="H1194" s="12"/>
      <c r="I1194" s="609"/>
      <c r="J1194" s="618"/>
      <c r="K1194" s="619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</row>
    <row r="1195">
      <c r="A1195" s="12"/>
      <c r="B1195" s="605"/>
      <c r="C1195" s="12"/>
      <c r="D1195" s="12"/>
      <c r="E1195" s="12"/>
      <c r="F1195" s="12"/>
      <c r="G1195" s="609"/>
      <c r="H1195" s="12"/>
      <c r="I1195" s="609"/>
      <c r="J1195" s="618"/>
      <c r="K1195" s="619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</row>
    <row r="1196">
      <c r="A1196" s="12"/>
      <c r="B1196" s="605"/>
      <c r="C1196" s="12"/>
      <c r="D1196" s="12"/>
      <c r="E1196" s="12"/>
      <c r="F1196" s="12"/>
      <c r="G1196" s="609"/>
      <c r="H1196" s="12"/>
      <c r="I1196" s="609"/>
      <c r="J1196" s="618"/>
      <c r="K1196" s="619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</row>
    <row r="1197">
      <c r="A1197" s="12"/>
      <c r="B1197" s="605"/>
      <c r="C1197" s="12"/>
      <c r="D1197" s="12"/>
      <c r="E1197" s="12"/>
      <c r="F1197" s="12"/>
      <c r="G1197" s="609"/>
      <c r="H1197" s="12"/>
      <c r="I1197" s="609"/>
      <c r="J1197" s="618"/>
      <c r="K1197" s="619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</row>
    <row r="1198">
      <c r="A1198" s="12"/>
      <c r="B1198" s="605"/>
      <c r="C1198" s="12"/>
      <c r="D1198" s="12"/>
      <c r="E1198" s="12"/>
      <c r="F1198" s="12"/>
      <c r="G1198" s="609"/>
      <c r="H1198" s="12"/>
      <c r="I1198" s="609"/>
      <c r="J1198" s="618"/>
      <c r="K1198" s="619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</row>
    <row r="1199">
      <c r="A1199" s="12"/>
      <c r="B1199" s="605"/>
      <c r="C1199" s="12"/>
      <c r="D1199" s="12"/>
      <c r="E1199" s="12"/>
      <c r="F1199" s="12"/>
      <c r="G1199" s="609"/>
      <c r="H1199" s="12"/>
      <c r="I1199" s="609"/>
      <c r="J1199" s="618"/>
      <c r="K1199" s="619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</row>
    <row r="1200">
      <c r="A1200" s="12"/>
      <c r="B1200" s="605"/>
      <c r="C1200" s="12"/>
      <c r="D1200" s="12"/>
      <c r="E1200" s="12"/>
      <c r="F1200" s="12"/>
      <c r="G1200" s="609"/>
      <c r="H1200" s="12"/>
      <c r="I1200" s="609"/>
      <c r="J1200" s="618"/>
      <c r="K1200" s="619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</row>
    <row r="1201">
      <c r="A1201" s="12"/>
      <c r="B1201" s="605"/>
      <c r="C1201" s="12"/>
      <c r="D1201" s="12"/>
      <c r="E1201" s="12"/>
      <c r="F1201" s="12"/>
      <c r="G1201" s="609"/>
      <c r="H1201" s="12"/>
      <c r="I1201" s="609"/>
      <c r="J1201" s="618"/>
      <c r="K1201" s="619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</row>
    <row r="1202">
      <c r="A1202" s="12"/>
      <c r="B1202" s="605"/>
      <c r="C1202" s="12"/>
      <c r="D1202" s="12"/>
      <c r="E1202" s="12"/>
      <c r="F1202" s="12"/>
      <c r="G1202" s="609"/>
      <c r="H1202" s="12"/>
      <c r="I1202" s="609"/>
      <c r="J1202" s="618"/>
      <c r="K1202" s="619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</row>
    <row r="1203">
      <c r="A1203" s="12"/>
      <c r="B1203" s="605"/>
      <c r="C1203" s="12"/>
      <c r="D1203" s="12"/>
      <c r="E1203" s="12"/>
      <c r="F1203" s="12"/>
      <c r="G1203" s="609"/>
      <c r="H1203" s="12"/>
      <c r="I1203" s="609"/>
      <c r="J1203" s="618"/>
      <c r="K1203" s="619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</row>
    <row r="1204">
      <c r="A1204" s="12"/>
      <c r="B1204" s="605"/>
      <c r="C1204" s="12"/>
      <c r="D1204" s="12"/>
      <c r="E1204" s="12"/>
      <c r="F1204" s="12"/>
      <c r="G1204" s="609"/>
      <c r="H1204" s="12"/>
      <c r="I1204" s="609"/>
      <c r="J1204" s="618"/>
      <c r="K1204" s="619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</row>
    <row r="1205">
      <c r="A1205" s="12"/>
      <c r="B1205" s="605"/>
      <c r="C1205" s="12"/>
      <c r="D1205" s="12"/>
      <c r="E1205" s="12"/>
      <c r="F1205" s="12"/>
      <c r="G1205" s="609"/>
      <c r="H1205" s="12"/>
      <c r="I1205" s="609"/>
      <c r="J1205" s="618"/>
      <c r="K1205" s="619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</row>
    <row r="1206">
      <c r="A1206" s="12"/>
      <c r="B1206" s="605"/>
      <c r="C1206" s="12"/>
      <c r="D1206" s="12"/>
      <c r="E1206" s="12"/>
      <c r="F1206" s="12"/>
      <c r="G1206" s="609"/>
      <c r="H1206" s="12"/>
      <c r="I1206" s="609"/>
      <c r="J1206" s="618"/>
      <c r="K1206" s="619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</row>
    <row r="1207">
      <c r="A1207" s="12"/>
      <c r="B1207" s="605"/>
      <c r="C1207" s="12"/>
      <c r="D1207" s="12"/>
      <c r="E1207" s="12"/>
      <c r="F1207" s="12"/>
      <c r="G1207" s="609"/>
      <c r="H1207" s="12"/>
      <c r="I1207" s="609"/>
      <c r="J1207" s="618"/>
      <c r="K1207" s="619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</row>
    <row r="1208">
      <c r="A1208" s="12"/>
      <c r="B1208" s="605"/>
      <c r="C1208" s="12"/>
      <c r="D1208" s="12"/>
      <c r="E1208" s="12"/>
      <c r="F1208" s="12"/>
      <c r="G1208" s="609"/>
      <c r="H1208" s="12"/>
      <c r="I1208" s="609"/>
      <c r="J1208" s="618"/>
      <c r="K1208" s="619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</row>
    <row r="1209">
      <c r="A1209" s="12"/>
      <c r="B1209" s="605"/>
      <c r="C1209" s="12"/>
      <c r="D1209" s="12"/>
      <c r="E1209" s="12"/>
      <c r="F1209" s="12"/>
      <c r="G1209" s="609"/>
      <c r="H1209" s="12"/>
      <c r="I1209" s="609"/>
      <c r="J1209" s="618"/>
      <c r="K1209" s="619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</row>
    <row r="1210">
      <c r="A1210" s="12"/>
      <c r="B1210" s="605"/>
      <c r="C1210" s="12"/>
      <c r="D1210" s="12"/>
      <c r="E1210" s="12"/>
      <c r="F1210" s="12"/>
      <c r="G1210" s="609"/>
      <c r="H1210" s="12"/>
      <c r="I1210" s="609"/>
      <c r="J1210" s="618"/>
      <c r="K1210" s="619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</row>
    <row r="1211">
      <c r="A1211" s="12"/>
      <c r="B1211" s="605"/>
      <c r="C1211" s="12"/>
      <c r="D1211" s="12"/>
      <c r="E1211" s="12"/>
      <c r="F1211" s="12"/>
      <c r="G1211" s="609"/>
      <c r="H1211" s="12"/>
      <c r="I1211" s="609"/>
      <c r="J1211" s="618"/>
      <c r="K1211" s="619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</row>
    <row r="1212">
      <c r="A1212" s="12"/>
      <c r="B1212" s="605"/>
      <c r="C1212" s="12"/>
      <c r="D1212" s="12"/>
      <c r="E1212" s="12"/>
      <c r="F1212" s="12"/>
      <c r="G1212" s="609"/>
      <c r="H1212" s="12"/>
      <c r="I1212" s="609"/>
      <c r="J1212" s="618"/>
      <c r="K1212" s="619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</row>
    <row r="1213">
      <c r="A1213" s="12"/>
      <c r="B1213" s="605"/>
      <c r="C1213" s="12"/>
      <c r="D1213" s="12"/>
      <c r="E1213" s="12"/>
      <c r="F1213" s="12"/>
      <c r="G1213" s="609"/>
      <c r="H1213" s="12"/>
      <c r="I1213" s="609"/>
      <c r="J1213" s="618"/>
      <c r="K1213" s="619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</row>
    <row r="1214">
      <c r="A1214" s="12"/>
      <c r="B1214" s="605"/>
      <c r="C1214" s="12"/>
      <c r="D1214" s="12"/>
      <c r="E1214" s="12"/>
      <c r="F1214" s="12"/>
      <c r="G1214" s="609"/>
      <c r="H1214" s="12"/>
      <c r="I1214" s="609"/>
      <c r="J1214" s="618"/>
      <c r="K1214" s="619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</row>
    <row r="1215">
      <c r="A1215" s="12"/>
      <c r="B1215" s="605"/>
      <c r="C1215" s="12"/>
      <c r="D1215" s="12"/>
      <c r="E1215" s="12"/>
      <c r="F1215" s="12"/>
      <c r="G1215" s="609"/>
      <c r="H1215" s="12"/>
      <c r="I1215" s="609"/>
      <c r="J1215" s="618"/>
      <c r="K1215" s="619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</row>
    <row r="1216">
      <c r="A1216" s="12"/>
      <c r="B1216" s="605"/>
      <c r="C1216" s="12"/>
      <c r="D1216" s="12"/>
      <c r="E1216" s="12"/>
      <c r="F1216" s="12"/>
      <c r="G1216" s="609"/>
      <c r="H1216" s="12"/>
      <c r="I1216" s="609"/>
      <c r="J1216" s="618"/>
      <c r="K1216" s="619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</row>
    <row r="1217">
      <c r="A1217" s="12"/>
      <c r="B1217" s="605"/>
      <c r="C1217" s="12"/>
      <c r="D1217" s="12"/>
      <c r="E1217" s="12"/>
      <c r="F1217" s="12"/>
      <c r="G1217" s="609"/>
      <c r="H1217" s="12"/>
      <c r="I1217" s="609"/>
      <c r="J1217" s="618"/>
      <c r="K1217" s="619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</row>
    <row r="1218">
      <c r="A1218" s="12"/>
      <c r="B1218" s="605"/>
      <c r="C1218" s="12"/>
      <c r="D1218" s="12"/>
      <c r="E1218" s="12"/>
      <c r="F1218" s="12"/>
      <c r="G1218" s="609"/>
      <c r="H1218" s="12"/>
      <c r="I1218" s="609"/>
      <c r="J1218" s="618"/>
      <c r="K1218" s="619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</row>
    <row r="1219">
      <c r="A1219" s="12"/>
      <c r="B1219" s="605"/>
      <c r="C1219" s="12"/>
      <c r="D1219" s="12"/>
      <c r="E1219" s="12"/>
      <c r="F1219" s="12"/>
      <c r="G1219" s="609"/>
      <c r="H1219" s="12"/>
      <c r="I1219" s="609"/>
      <c r="J1219" s="618"/>
      <c r="K1219" s="619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</row>
    <row r="1220">
      <c r="A1220" s="12"/>
      <c r="B1220" s="605"/>
      <c r="C1220" s="12"/>
      <c r="D1220" s="12"/>
      <c r="E1220" s="12"/>
      <c r="F1220" s="12"/>
      <c r="G1220" s="609"/>
      <c r="H1220" s="12"/>
      <c r="I1220" s="609"/>
      <c r="J1220" s="618"/>
      <c r="K1220" s="619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</row>
    <row r="1221">
      <c r="A1221" s="12"/>
      <c r="B1221" s="605"/>
      <c r="C1221" s="12"/>
      <c r="D1221" s="12"/>
      <c r="E1221" s="12"/>
      <c r="F1221" s="12"/>
      <c r="G1221" s="609"/>
      <c r="H1221" s="12"/>
      <c r="I1221" s="609"/>
      <c r="J1221" s="618"/>
      <c r="K1221" s="619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</row>
    <row r="1222">
      <c r="A1222" s="12"/>
      <c r="B1222" s="605"/>
      <c r="C1222" s="12"/>
      <c r="D1222" s="12"/>
      <c r="E1222" s="12"/>
      <c r="F1222" s="12"/>
      <c r="G1222" s="609"/>
      <c r="H1222" s="12"/>
      <c r="I1222" s="609"/>
      <c r="J1222" s="618"/>
      <c r="K1222" s="619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</row>
    <row r="1223">
      <c r="A1223" s="12"/>
      <c r="B1223" s="605"/>
      <c r="C1223" s="12"/>
      <c r="D1223" s="12"/>
      <c r="E1223" s="12"/>
      <c r="F1223" s="12"/>
      <c r="G1223" s="609"/>
      <c r="H1223" s="12"/>
      <c r="I1223" s="609"/>
      <c r="J1223" s="618"/>
      <c r="K1223" s="619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</row>
    <row r="1224">
      <c r="A1224" s="12"/>
      <c r="B1224" s="605"/>
      <c r="C1224" s="12"/>
      <c r="D1224" s="12"/>
      <c r="E1224" s="12"/>
      <c r="F1224" s="12"/>
      <c r="G1224" s="609"/>
      <c r="H1224" s="12"/>
      <c r="I1224" s="609"/>
      <c r="J1224" s="618"/>
      <c r="K1224" s="619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</row>
    <row r="1225">
      <c r="A1225" s="12"/>
      <c r="B1225" s="605"/>
      <c r="C1225" s="12"/>
      <c r="D1225" s="12"/>
      <c r="E1225" s="12"/>
      <c r="F1225" s="12"/>
      <c r="G1225" s="609"/>
      <c r="H1225" s="12"/>
      <c r="I1225" s="609"/>
      <c r="J1225" s="618"/>
      <c r="K1225" s="619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</row>
    <row r="1226">
      <c r="A1226" s="12"/>
      <c r="B1226" s="605"/>
      <c r="C1226" s="12"/>
      <c r="D1226" s="12"/>
      <c r="E1226" s="12"/>
      <c r="F1226" s="12"/>
      <c r="G1226" s="609"/>
      <c r="H1226" s="12"/>
      <c r="I1226" s="609"/>
      <c r="J1226" s="618"/>
      <c r="K1226" s="619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</row>
    <row r="1227">
      <c r="A1227" s="12"/>
      <c r="B1227" s="605"/>
      <c r="C1227" s="12"/>
      <c r="D1227" s="12"/>
      <c r="E1227" s="12"/>
      <c r="F1227" s="12"/>
      <c r="G1227" s="609"/>
      <c r="H1227" s="12"/>
      <c r="I1227" s="609"/>
      <c r="J1227" s="618"/>
      <c r="K1227" s="619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</row>
    <row r="1228">
      <c r="A1228" s="12"/>
      <c r="B1228" s="605"/>
      <c r="C1228" s="12"/>
      <c r="D1228" s="12"/>
      <c r="E1228" s="12"/>
      <c r="F1228" s="12"/>
      <c r="G1228" s="609"/>
      <c r="H1228" s="12"/>
      <c r="I1228" s="609"/>
      <c r="J1228" s="618"/>
      <c r="K1228" s="619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</row>
    <row r="1229">
      <c r="A1229" s="12"/>
      <c r="B1229" s="605"/>
      <c r="C1229" s="12"/>
      <c r="D1229" s="12"/>
      <c r="E1229" s="12"/>
      <c r="F1229" s="12"/>
      <c r="G1229" s="609"/>
      <c r="H1229" s="12"/>
      <c r="I1229" s="609"/>
      <c r="J1229" s="618"/>
      <c r="K1229" s="619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</row>
    <row r="1230">
      <c r="A1230" s="12"/>
      <c r="B1230" s="605"/>
      <c r="C1230" s="12"/>
      <c r="D1230" s="12"/>
      <c r="E1230" s="12"/>
      <c r="F1230" s="12"/>
      <c r="G1230" s="609"/>
      <c r="H1230" s="12"/>
      <c r="I1230" s="609"/>
      <c r="J1230" s="618"/>
      <c r="K1230" s="619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</row>
    <row r="1231">
      <c r="A1231" s="12"/>
      <c r="B1231" s="605"/>
      <c r="C1231" s="12"/>
      <c r="D1231" s="12"/>
      <c r="E1231" s="12"/>
      <c r="F1231" s="12"/>
      <c r="G1231" s="609"/>
      <c r="H1231" s="12"/>
      <c r="I1231" s="609"/>
      <c r="J1231" s="618"/>
      <c r="K1231" s="619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</row>
    <row r="1232">
      <c r="A1232" s="12"/>
      <c r="B1232" s="605"/>
      <c r="C1232" s="12"/>
      <c r="D1232" s="12"/>
      <c r="E1232" s="12"/>
      <c r="F1232" s="12"/>
      <c r="G1232" s="609"/>
      <c r="H1232" s="12"/>
      <c r="I1232" s="609"/>
      <c r="J1232" s="618"/>
      <c r="K1232" s="619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</row>
    <row r="1233">
      <c r="A1233" s="12"/>
      <c r="B1233" s="605"/>
      <c r="C1233" s="12"/>
      <c r="D1233" s="12"/>
      <c r="E1233" s="12"/>
      <c r="F1233" s="12"/>
      <c r="G1233" s="609"/>
      <c r="H1233" s="12"/>
      <c r="I1233" s="609"/>
      <c r="J1233" s="618"/>
      <c r="K1233" s="619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</row>
    <row r="1234">
      <c r="A1234" s="12"/>
      <c r="B1234" s="605"/>
      <c r="C1234" s="12"/>
      <c r="D1234" s="12"/>
      <c r="E1234" s="12"/>
      <c r="F1234" s="12"/>
      <c r="G1234" s="609"/>
      <c r="H1234" s="12"/>
      <c r="I1234" s="609"/>
      <c r="J1234" s="618"/>
      <c r="K1234" s="619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</row>
    <row r="1235">
      <c r="A1235" s="12"/>
      <c r="B1235" s="605"/>
      <c r="C1235" s="12"/>
      <c r="D1235" s="12"/>
      <c r="E1235" s="12"/>
      <c r="F1235" s="12"/>
      <c r="G1235" s="609"/>
      <c r="H1235" s="12"/>
      <c r="I1235" s="609"/>
      <c r="J1235" s="618"/>
      <c r="K1235" s="619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</row>
    <row r="1236">
      <c r="A1236" s="12"/>
      <c r="B1236" s="605"/>
      <c r="C1236" s="12"/>
      <c r="D1236" s="12"/>
      <c r="E1236" s="12"/>
      <c r="F1236" s="12"/>
      <c r="G1236" s="609"/>
      <c r="H1236" s="12"/>
      <c r="I1236" s="609"/>
      <c r="J1236" s="618"/>
      <c r="K1236" s="619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</row>
    <row r="1237">
      <c r="A1237" s="12"/>
      <c r="B1237" s="605"/>
      <c r="C1237" s="12"/>
      <c r="D1237" s="12"/>
      <c r="E1237" s="12"/>
      <c r="F1237" s="12"/>
      <c r="G1237" s="609"/>
      <c r="H1237" s="12"/>
      <c r="I1237" s="609"/>
      <c r="J1237" s="618"/>
      <c r="K1237" s="619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</row>
    <row r="1238">
      <c r="A1238" s="12"/>
      <c r="B1238" s="605"/>
      <c r="C1238" s="12"/>
      <c r="D1238" s="12"/>
      <c r="E1238" s="12"/>
      <c r="F1238" s="12"/>
      <c r="G1238" s="609"/>
      <c r="H1238" s="12"/>
      <c r="I1238" s="609"/>
      <c r="J1238" s="618"/>
      <c r="K1238" s="619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</row>
    <row r="1239">
      <c r="A1239" s="12"/>
      <c r="B1239" s="605"/>
      <c r="C1239" s="12"/>
      <c r="D1239" s="12"/>
      <c r="E1239" s="12"/>
      <c r="F1239" s="12"/>
      <c r="G1239" s="609"/>
      <c r="H1239" s="12"/>
      <c r="I1239" s="609"/>
      <c r="J1239" s="618"/>
      <c r="K1239" s="619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</row>
    <row r="1240">
      <c r="A1240" s="12"/>
      <c r="B1240" s="605"/>
      <c r="C1240" s="12"/>
      <c r="D1240" s="12"/>
      <c r="E1240" s="12"/>
      <c r="F1240" s="12"/>
      <c r="G1240" s="609"/>
      <c r="H1240" s="12"/>
      <c r="I1240" s="609"/>
      <c r="J1240" s="618"/>
      <c r="K1240" s="619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</row>
    <row r="1241">
      <c r="A1241" s="12"/>
      <c r="B1241" s="605"/>
      <c r="C1241" s="12"/>
      <c r="D1241" s="12"/>
      <c r="E1241" s="12"/>
      <c r="F1241" s="12"/>
      <c r="G1241" s="609"/>
      <c r="H1241" s="12"/>
      <c r="I1241" s="609"/>
      <c r="J1241" s="618"/>
      <c r="K1241" s="619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</row>
    <row r="1242">
      <c r="A1242" s="12"/>
      <c r="B1242" s="605"/>
      <c r="C1242" s="12"/>
      <c r="D1242" s="12"/>
      <c r="E1242" s="12"/>
      <c r="F1242" s="12"/>
      <c r="G1242" s="609"/>
      <c r="H1242" s="12"/>
      <c r="I1242" s="609"/>
      <c r="J1242" s="618"/>
      <c r="K1242" s="619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</row>
    <row r="1243">
      <c r="A1243" s="12"/>
      <c r="B1243" s="605"/>
      <c r="C1243" s="12"/>
      <c r="D1243" s="12"/>
      <c r="E1243" s="12"/>
      <c r="F1243" s="12"/>
      <c r="G1243" s="609"/>
      <c r="H1243" s="12"/>
      <c r="I1243" s="609"/>
      <c r="J1243" s="618"/>
      <c r="K1243" s="619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</row>
    <row r="1244">
      <c r="A1244" s="12"/>
      <c r="B1244" s="605"/>
      <c r="C1244" s="12"/>
      <c r="D1244" s="12"/>
      <c r="E1244" s="12"/>
      <c r="F1244" s="12"/>
      <c r="G1244" s="609"/>
      <c r="H1244" s="12"/>
      <c r="I1244" s="609"/>
      <c r="J1244" s="618"/>
      <c r="K1244" s="619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</row>
    <row r="1245">
      <c r="A1245" s="12"/>
      <c r="B1245" s="605"/>
      <c r="C1245" s="12"/>
      <c r="D1245" s="12"/>
      <c r="E1245" s="12"/>
      <c r="F1245" s="12"/>
      <c r="G1245" s="609"/>
      <c r="H1245" s="12"/>
      <c r="I1245" s="609"/>
      <c r="J1245" s="618"/>
      <c r="K1245" s="619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</row>
    <row r="1246">
      <c r="A1246" s="12"/>
      <c r="B1246" s="605"/>
      <c r="C1246" s="12"/>
      <c r="D1246" s="12"/>
      <c r="E1246" s="12"/>
      <c r="F1246" s="12"/>
      <c r="G1246" s="609"/>
      <c r="H1246" s="12"/>
      <c r="I1246" s="609"/>
      <c r="J1246" s="618"/>
      <c r="K1246" s="619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</row>
    <row r="1247">
      <c r="A1247" s="12"/>
      <c r="B1247" s="605"/>
      <c r="C1247" s="12"/>
      <c r="D1247" s="12"/>
      <c r="E1247" s="12"/>
      <c r="F1247" s="12"/>
      <c r="G1247" s="609"/>
      <c r="H1247" s="12"/>
      <c r="I1247" s="609"/>
      <c r="J1247" s="618"/>
      <c r="K1247" s="619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</row>
    <row r="1248">
      <c r="A1248" s="12"/>
      <c r="B1248" s="605"/>
      <c r="C1248" s="12"/>
      <c r="D1248" s="12"/>
      <c r="E1248" s="12"/>
      <c r="F1248" s="12"/>
      <c r="G1248" s="609"/>
      <c r="H1248" s="12"/>
      <c r="I1248" s="609"/>
      <c r="J1248" s="618"/>
      <c r="K1248" s="619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</row>
    <row r="1249">
      <c r="A1249" s="12"/>
      <c r="B1249" s="605"/>
      <c r="C1249" s="12"/>
      <c r="D1249" s="12"/>
      <c r="E1249" s="12"/>
      <c r="F1249" s="12"/>
      <c r="G1249" s="609"/>
      <c r="H1249" s="12"/>
      <c r="I1249" s="609"/>
      <c r="J1249" s="618"/>
      <c r="K1249" s="619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</row>
    <row r="1250">
      <c r="A1250" s="12"/>
      <c r="B1250" s="605"/>
      <c r="C1250" s="12"/>
      <c r="D1250" s="12"/>
      <c r="E1250" s="12"/>
      <c r="F1250" s="12"/>
      <c r="G1250" s="609"/>
      <c r="H1250" s="12"/>
      <c r="I1250" s="609"/>
      <c r="J1250" s="618"/>
      <c r="K1250" s="619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</row>
    <row r="1251">
      <c r="A1251" s="12"/>
      <c r="B1251" s="605"/>
      <c r="C1251" s="12"/>
      <c r="D1251" s="12"/>
      <c r="E1251" s="12"/>
      <c r="F1251" s="12"/>
      <c r="G1251" s="609"/>
      <c r="H1251" s="12"/>
      <c r="I1251" s="609"/>
      <c r="J1251" s="618"/>
      <c r="K1251" s="619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</row>
    <row r="1252">
      <c r="A1252" s="12"/>
      <c r="B1252" s="605"/>
      <c r="C1252" s="12"/>
      <c r="D1252" s="12"/>
      <c r="E1252" s="12"/>
      <c r="F1252" s="12"/>
      <c r="G1252" s="609"/>
      <c r="H1252" s="12"/>
      <c r="I1252" s="609"/>
      <c r="J1252" s="618"/>
      <c r="K1252" s="619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</row>
    <row r="1253">
      <c r="A1253" s="12"/>
      <c r="B1253" s="605"/>
      <c r="C1253" s="12"/>
      <c r="D1253" s="12"/>
      <c r="E1253" s="12"/>
      <c r="F1253" s="12"/>
      <c r="G1253" s="609"/>
      <c r="H1253" s="12"/>
      <c r="I1253" s="609"/>
      <c r="J1253" s="618"/>
      <c r="K1253" s="619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</row>
    <row r="1254">
      <c r="A1254" s="12"/>
      <c r="B1254" s="605"/>
      <c r="C1254" s="12"/>
      <c r="D1254" s="12"/>
      <c r="E1254" s="12"/>
      <c r="F1254" s="12"/>
      <c r="G1254" s="609"/>
      <c r="H1254" s="12"/>
      <c r="I1254" s="609"/>
      <c r="J1254" s="618"/>
      <c r="K1254" s="619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</row>
    <row r="1255">
      <c r="A1255" s="12"/>
      <c r="B1255" s="605"/>
      <c r="C1255" s="12"/>
      <c r="D1255" s="12"/>
      <c r="E1255" s="12"/>
      <c r="F1255" s="12"/>
      <c r="G1255" s="609"/>
      <c r="H1255" s="12"/>
      <c r="I1255" s="609"/>
      <c r="J1255" s="618"/>
      <c r="K1255" s="619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</row>
    <row r="1256">
      <c r="A1256" s="12"/>
      <c r="B1256" s="605"/>
      <c r="C1256" s="12"/>
      <c r="D1256" s="12"/>
      <c r="E1256" s="12"/>
      <c r="F1256" s="12"/>
      <c r="G1256" s="609"/>
      <c r="H1256" s="12"/>
      <c r="I1256" s="609"/>
      <c r="J1256" s="618"/>
      <c r="K1256" s="619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</row>
    <row r="1257">
      <c r="A1257" s="12"/>
      <c r="B1257" s="605"/>
      <c r="C1257" s="12"/>
      <c r="D1257" s="12"/>
      <c r="E1257" s="12"/>
      <c r="F1257" s="12"/>
      <c r="G1257" s="609"/>
      <c r="H1257" s="12"/>
      <c r="I1257" s="609"/>
      <c r="J1257" s="618"/>
      <c r="K1257" s="619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</row>
    <row r="1258">
      <c r="A1258" s="12"/>
      <c r="B1258" s="605"/>
      <c r="C1258" s="12"/>
      <c r="D1258" s="12"/>
      <c r="E1258" s="12"/>
      <c r="F1258" s="12"/>
      <c r="G1258" s="609"/>
      <c r="H1258" s="12"/>
      <c r="I1258" s="609"/>
      <c r="J1258" s="618"/>
      <c r="K1258" s="619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</row>
    <row r="1259">
      <c r="A1259" s="12"/>
      <c r="B1259" s="605"/>
      <c r="C1259" s="12"/>
      <c r="D1259" s="12"/>
      <c r="E1259" s="12"/>
      <c r="F1259" s="12"/>
      <c r="G1259" s="609"/>
      <c r="H1259" s="12"/>
      <c r="I1259" s="609"/>
      <c r="J1259" s="618"/>
      <c r="K1259" s="619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</row>
    <row r="1260">
      <c r="A1260" s="12"/>
      <c r="B1260" s="605"/>
      <c r="C1260" s="12"/>
      <c r="D1260" s="12"/>
      <c r="E1260" s="12"/>
      <c r="F1260" s="12"/>
      <c r="G1260" s="609"/>
      <c r="H1260" s="12"/>
      <c r="I1260" s="609"/>
      <c r="J1260" s="618"/>
      <c r="K1260" s="619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</row>
    <row r="1261">
      <c r="A1261" s="12"/>
      <c r="B1261" s="605"/>
      <c r="C1261" s="12"/>
      <c r="D1261" s="12"/>
      <c r="E1261" s="12"/>
      <c r="F1261" s="12"/>
      <c r="G1261" s="609"/>
      <c r="H1261" s="12"/>
      <c r="I1261" s="609"/>
      <c r="J1261" s="618"/>
      <c r="K1261" s="619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</row>
    <row r="1262">
      <c r="A1262" s="12"/>
      <c r="B1262" s="605"/>
      <c r="C1262" s="12"/>
      <c r="D1262" s="12"/>
      <c r="E1262" s="12"/>
      <c r="F1262" s="12"/>
      <c r="G1262" s="609"/>
      <c r="H1262" s="12"/>
      <c r="I1262" s="609"/>
      <c r="J1262" s="618"/>
      <c r="K1262" s="619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</row>
    <row r="1263">
      <c r="A1263" s="12"/>
      <c r="B1263" s="605"/>
      <c r="C1263" s="12"/>
      <c r="D1263" s="12"/>
      <c r="E1263" s="12"/>
      <c r="F1263" s="12"/>
      <c r="G1263" s="609"/>
      <c r="H1263" s="12"/>
      <c r="I1263" s="609"/>
      <c r="J1263" s="618"/>
      <c r="K1263" s="619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</row>
    <row r="1264">
      <c r="A1264" s="12"/>
      <c r="B1264" s="605"/>
      <c r="C1264" s="12"/>
      <c r="D1264" s="12"/>
      <c r="E1264" s="12"/>
      <c r="F1264" s="12"/>
      <c r="G1264" s="609"/>
      <c r="H1264" s="12"/>
      <c r="I1264" s="609"/>
      <c r="J1264" s="618"/>
      <c r="K1264" s="619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</row>
    <row r="1265">
      <c r="A1265" s="12"/>
      <c r="B1265" s="605"/>
      <c r="C1265" s="12"/>
      <c r="D1265" s="12"/>
      <c r="E1265" s="12"/>
      <c r="F1265" s="12"/>
      <c r="G1265" s="609"/>
      <c r="H1265" s="12"/>
      <c r="I1265" s="609"/>
      <c r="J1265" s="618"/>
      <c r="K1265" s="619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</row>
    <row r="1266">
      <c r="A1266" s="12"/>
      <c r="B1266" s="605"/>
      <c r="C1266" s="12"/>
      <c r="D1266" s="12"/>
      <c r="E1266" s="12"/>
      <c r="F1266" s="12"/>
      <c r="G1266" s="609"/>
      <c r="H1266" s="12"/>
      <c r="I1266" s="609"/>
      <c r="J1266" s="618"/>
      <c r="K1266" s="619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</row>
    <row r="1267">
      <c r="A1267" s="12"/>
      <c r="B1267" s="605"/>
      <c r="C1267" s="12"/>
      <c r="D1267" s="12"/>
      <c r="E1267" s="12"/>
      <c r="F1267" s="12"/>
      <c r="G1267" s="609"/>
      <c r="H1267" s="12"/>
      <c r="I1267" s="609"/>
      <c r="J1267" s="618"/>
      <c r="K1267" s="619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</row>
    <row r="1268">
      <c r="A1268" s="12"/>
      <c r="B1268" s="605"/>
      <c r="C1268" s="12"/>
      <c r="D1268" s="12"/>
      <c r="E1268" s="12"/>
      <c r="F1268" s="12"/>
      <c r="G1268" s="609"/>
      <c r="H1268" s="12"/>
      <c r="I1268" s="609"/>
      <c r="J1268" s="618"/>
      <c r="K1268" s="619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</row>
    <row r="1269">
      <c r="A1269" s="12"/>
      <c r="B1269" s="605"/>
      <c r="C1269" s="12"/>
      <c r="D1269" s="12"/>
      <c r="E1269" s="12"/>
      <c r="F1269" s="12"/>
      <c r="G1269" s="609"/>
      <c r="H1269" s="12"/>
      <c r="I1269" s="609"/>
      <c r="J1269" s="618"/>
      <c r="K1269" s="619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</row>
    <row r="1270">
      <c r="A1270" s="12"/>
      <c r="B1270" s="605"/>
      <c r="C1270" s="12"/>
      <c r="D1270" s="12"/>
      <c r="E1270" s="12"/>
      <c r="F1270" s="12"/>
      <c r="G1270" s="609"/>
      <c r="H1270" s="12"/>
      <c r="I1270" s="609"/>
      <c r="J1270" s="618"/>
      <c r="K1270" s="619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</row>
    <row r="1271">
      <c r="A1271" s="12"/>
      <c r="B1271" s="605"/>
      <c r="C1271" s="12"/>
      <c r="D1271" s="12"/>
      <c r="E1271" s="12"/>
      <c r="F1271" s="12"/>
      <c r="G1271" s="609"/>
      <c r="H1271" s="12"/>
      <c r="I1271" s="609"/>
      <c r="J1271" s="618"/>
      <c r="K1271" s="619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</row>
    <row r="1272">
      <c r="A1272" s="12"/>
      <c r="B1272" s="605"/>
      <c r="C1272" s="12"/>
      <c r="D1272" s="12"/>
      <c r="E1272" s="12"/>
      <c r="F1272" s="12"/>
      <c r="G1272" s="609"/>
      <c r="H1272" s="12"/>
      <c r="I1272" s="609"/>
      <c r="J1272" s="618"/>
      <c r="K1272" s="619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</row>
    <row r="1273">
      <c r="A1273" s="12"/>
      <c r="B1273" s="605"/>
      <c r="C1273" s="12"/>
      <c r="D1273" s="12"/>
      <c r="E1273" s="12"/>
      <c r="F1273" s="12"/>
      <c r="G1273" s="609"/>
      <c r="H1273" s="12"/>
      <c r="I1273" s="609"/>
      <c r="J1273" s="618"/>
      <c r="K1273" s="619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</row>
    <row r="1274">
      <c r="A1274" s="12"/>
      <c r="B1274" s="605"/>
      <c r="C1274" s="12"/>
      <c r="D1274" s="12"/>
      <c r="E1274" s="12"/>
      <c r="F1274" s="12"/>
      <c r="G1274" s="609"/>
      <c r="H1274" s="12"/>
      <c r="I1274" s="609"/>
      <c r="J1274" s="618"/>
      <c r="K1274" s="619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</row>
    <row r="1275">
      <c r="A1275" s="12"/>
      <c r="B1275" s="605"/>
      <c r="C1275" s="12"/>
      <c r="D1275" s="12"/>
      <c r="E1275" s="12"/>
      <c r="F1275" s="12"/>
      <c r="G1275" s="609"/>
      <c r="H1275" s="12"/>
      <c r="I1275" s="609"/>
      <c r="J1275" s="618"/>
      <c r="K1275" s="619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</row>
    <row r="1276">
      <c r="A1276" s="12"/>
      <c r="B1276" s="605"/>
      <c r="C1276" s="12"/>
      <c r="D1276" s="12"/>
      <c r="E1276" s="12"/>
      <c r="F1276" s="12"/>
      <c r="G1276" s="609"/>
      <c r="H1276" s="12"/>
      <c r="I1276" s="609"/>
      <c r="J1276" s="618"/>
      <c r="K1276" s="619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</row>
    <row r="1277">
      <c r="A1277" s="12"/>
      <c r="B1277" s="605"/>
      <c r="C1277" s="12"/>
      <c r="D1277" s="12"/>
      <c r="E1277" s="12"/>
      <c r="F1277" s="12"/>
      <c r="G1277" s="609"/>
      <c r="H1277" s="12"/>
      <c r="I1277" s="609"/>
      <c r="J1277" s="618"/>
      <c r="K1277" s="619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</row>
    <row r="1278">
      <c r="A1278" s="12"/>
      <c r="B1278" s="605"/>
      <c r="C1278" s="12"/>
      <c r="D1278" s="12"/>
      <c r="E1278" s="12"/>
      <c r="F1278" s="12"/>
      <c r="G1278" s="609"/>
      <c r="H1278" s="12"/>
      <c r="I1278" s="609"/>
      <c r="J1278" s="618"/>
      <c r="K1278" s="619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</row>
    <row r="1279">
      <c r="A1279" s="12"/>
      <c r="B1279" s="605"/>
      <c r="C1279" s="12"/>
      <c r="D1279" s="12"/>
      <c r="E1279" s="12"/>
      <c r="F1279" s="12"/>
      <c r="G1279" s="609"/>
      <c r="H1279" s="12"/>
      <c r="I1279" s="609"/>
      <c r="J1279" s="618"/>
      <c r="K1279" s="619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</row>
    <row r="1280">
      <c r="A1280" s="12"/>
      <c r="B1280" s="605"/>
      <c r="C1280" s="12"/>
      <c r="D1280" s="12"/>
      <c r="E1280" s="12"/>
      <c r="F1280" s="12"/>
      <c r="G1280" s="609"/>
      <c r="H1280" s="12"/>
      <c r="I1280" s="609"/>
      <c r="J1280" s="618"/>
      <c r="K1280" s="619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</row>
    <row r="1281">
      <c r="A1281" s="12"/>
      <c r="B1281" s="605"/>
      <c r="C1281" s="12"/>
      <c r="D1281" s="12"/>
      <c r="E1281" s="12"/>
      <c r="F1281" s="12"/>
      <c r="G1281" s="609"/>
      <c r="H1281" s="12"/>
      <c r="I1281" s="609"/>
      <c r="J1281" s="618"/>
      <c r="K1281" s="619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</row>
    <row r="1282">
      <c r="A1282" s="12"/>
      <c r="B1282" s="605"/>
      <c r="C1282" s="12"/>
      <c r="D1282" s="12"/>
      <c r="E1282" s="12"/>
      <c r="F1282" s="12"/>
      <c r="G1282" s="609"/>
      <c r="H1282" s="12"/>
      <c r="I1282" s="609"/>
      <c r="J1282" s="618"/>
      <c r="K1282" s="619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</row>
    <row r="1283">
      <c r="A1283" s="12"/>
      <c r="B1283" s="605"/>
      <c r="C1283" s="12"/>
      <c r="D1283" s="12"/>
      <c r="E1283" s="12"/>
      <c r="F1283" s="12"/>
      <c r="G1283" s="609"/>
      <c r="H1283" s="12"/>
      <c r="I1283" s="609"/>
      <c r="J1283" s="618"/>
      <c r="K1283" s="619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</row>
    <row r="1284">
      <c r="A1284" s="12"/>
      <c r="B1284" s="605"/>
      <c r="C1284" s="12"/>
      <c r="D1284" s="12"/>
      <c r="E1284" s="12"/>
      <c r="F1284" s="12"/>
      <c r="G1284" s="609"/>
      <c r="H1284" s="12"/>
      <c r="I1284" s="609"/>
      <c r="J1284" s="618"/>
      <c r="K1284" s="619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</row>
    <row r="1285">
      <c r="A1285" s="12"/>
      <c r="B1285" s="605"/>
      <c r="C1285" s="12"/>
      <c r="D1285" s="12"/>
      <c r="E1285" s="12"/>
      <c r="F1285" s="12"/>
      <c r="G1285" s="609"/>
      <c r="H1285" s="12"/>
      <c r="I1285" s="609"/>
      <c r="J1285" s="618"/>
      <c r="K1285" s="619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</row>
    <row r="1286">
      <c r="A1286" s="12"/>
      <c r="B1286" s="605"/>
      <c r="C1286" s="12"/>
      <c r="D1286" s="12"/>
      <c r="E1286" s="12"/>
      <c r="F1286" s="12"/>
      <c r="G1286" s="609"/>
      <c r="H1286" s="12"/>
      <c r="I1286" s="609"/>
      <c r="J1286" s="618"/>
      <c r="K1286" s="619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</row>
    <row r="1287">
      <c r="A1287" s="12"/>
      <c r="B1287" s="605"/>
      <c r="C1287" s="12"/>
      <c r="D1287" s="12"/>
      <c r="E1287" s="12"/>
      <c r="F1287" s="12"/>
      <c r="G1287" s="609"/>
      <c r="H1287" s="12"/>
      <c r="I1287" s="609"/>
      <c r="J1287" s="618"/>
      <c r="K1287" s="619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</row>
    <row r="1288">
      <c r="A1288" s="12"/>
      <c r="B1288" s="605"/>
      <c r="C1288" s="12"/>
      <c r="D1288" s="12"/>
      <c r="E1288" s="12"/>
      <c r="F1288" s="12"/>
      <c r="G1288" s="609"/>
      <c r="H1288" s="12"/>
      <c r="I1288" s="609"/>
      <c r="J1288" s="618"/>
      <c r="K1288" s="619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</row>
    <row r="1289">
      <c r="A1289" s="12"/>
      <c r="B1289" s="605"/>
      <c r="C1289" s="12"/>
      <c r="D1289" s="12"/>
      <c r="E1289" s="12"/>
      <c r="F1289" s="12"/>
      <c r="G1289" s="609"/>
      <c r="H1289" s="12"/>
      <c r="I1289" s="609"/>
      <c r="J1289" s="618"/>
      <c r="K1289" s="619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</row>
    <row r="1290">
      <c r="A1290" s="12"/>
      <c r="B1290" s="605"/>
      <c r="C1290" s="12"/>
      <c r="D1290" s="12"/>
      <c r="E1290" s="12"/>
      <c r="F1290" s="12"/>
      <c r="G1290" s="609"/>
      <c r="H1290" s="12"/>
      <c r="I1290" s="609"/>
      <c r="J1290" s="618"/>
      <c r="K1290" s="619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</row>
    <row r="1291">
      <c r="A1291" s="12"/>
      <c r="B1291" s="605"/>
      <c r="C1291" s="12"/>
      <c r="D1291" s="12"/>
      <c r="E1291" s="12"/>
      <c r="F1291" s="12"/>
      <c r="G1291" s="609"/>
      <c r="H1291" s="12"/>
      <c r="I1291" s="609"/>
      <c r="J1291" s="618"/>
      <c r="K1291" s="619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</row>
    <row r="1292">
      <c r="A1292" s="12"/>
      <c r="B1292" s="605"/>
      <c r="C1292" s="12"/>
      <c r="D1292" s="12"/>
      <c r="E1292" s="12"/>
      <c r="F1292" s="12"/>
      <c r="G1292" s="609"/>
      <c r="H1292" s="12"/>
      <c r="I1292" s="609"/>
      <c r="J1292" s="618"/>
      <c r="K1292" s="619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</row>
    <row r="1293">
      <c r="A1293" s="12"/>
      <c r="B1293" s="605"/>
      <c r="C1293" s="12"/>
      <c r="D1293" s="12"/>
      <c r="E1293" s="12"/>
      <c r="F1293" s="12"/>
      <c r="G1293" s="609"/>
      <c r="H1293" s="12"/>
      <c r="I1293" s="609"/>
      <c r="J1293" s="618"/>
      <c r="K1293" s="619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</row>
    <row r="1294">
      <c r="A1294" s="12"/>
      <c r="B1294" s="605"/>
      <c r="C1294" s="12"/>
      <c r="D1294" s="12"/>
      <c r="E1294" s="12"/>
      <c r="F1294" s="12"/>
      <c r="G1294" s="609"/>
      <c r="H1294" s="12"/>
      <c r="I1294" s="609"/>
      <c r="J1294" s="618"/>
      <c r="K1294" s="619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</row>
    <row r="1295">
      <c r="A1295" s="12"/>
      <c r="B1295" s="605"/>
      <c r="C1295" s="12"/>
      <c r="D1295" s="12"/>
      <c r="E1295" s="12"/>
      <c r="F1295" s="12"/>
      <c r="G1295" s="609"/>
      <c r="H1295" s="12"/>
      <c r="I1295" s="609"/>
      <c r="J1295" s="618"/>
      <c r="K1295" s="619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</row>
    <row r="1296">
      <c r="A1296" s="12"/>
      <c r="B1296" s="605"/>
      <c r="C1296" s="12"/>
      <c r="D1296" s="12"/>
      <c r="E1296" s="12"/>
      <c r="F1296" s="12"/>
      <c r="G1296" s="609"/>
      <c r="H1296" s="12"/>
      <c r="I1296" s="609"/>
      <c r="J1296" s="618"/>
      <c r="K1296" s="619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</row>
    <row r="1297">
      <c r="A1297" s="12"/>
      <c r="B1297" s="605"/>
      <c r="C1297" s="12"/>
      <c r="D1297" s="12"/>
      <c r="E1297" s="12"/>
      <c r="F1297" s="12"/>
      <c r="G1297" s="609"/>
      <c r="H1297" s="12"/>
      <c r="I1297" s="609"/>
      <c r="J1297" s="618"/>
      <c r="K1297" s="619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</row>
    <row r="1298">
      <c r="A1298" s="12"/>
      <c r="B1298" s="605"/>
      <c r="C1298" s="12"/>
      <c r="D1298" s="12"/>
      <c r="E1298" s="12"/>
      <c r="F1298" s="12"/>
      <c r="G1298" s="609"/>
      <c r="H1298" s="12"/>
      <c r="I1298" s="609"/>
      <c r="J1298" s="618"/>
      <c r="K1298" s="619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</row>
    <row r="1299">
      <c r="A1299" s="12"/>
      <c r="B1299" s="605"/>
      <c r="C1299" s="12"/>
      <c r="D1299" s="12"/>
      <c r="E1299" s="12"/>
      <c r="F1299" s="12"/>
      <c r="G1299" s="609"/>
      <c r="H1299" s="12"/>
      <c r="I1299" s="609"/>
      <c r="J1299" s="618"/>
      <c r="K1299" s="619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</row>
    <row r="1300">
      <c r="A1300" s="12"/>
      <c r="B1300" s="605"/>
      <c r="C1300" s="12"/>
      <c r="D1300" s="12"/>
      <c r="E1300" s="12"/>
      <c r="F1300" s="12"/>
      <c r="G1300" s="609"/>
      <c r="H1300" s="12"/>
      <c r="I1300" s="609"/>
      <c r="J1300" s="618"/>
      <c r="K1300" s="619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</row>
    <row r="1301">
      <c r="A1301" s="12"/>
      <c r="B1301" s="605"/>
      <c r="C1301" s="12"/>
      <c r="D1301" s="12"/>
      <c r="E1301" s="12"/>
      <c r="F1301" s="12"/>
      <c r="G1301" s="609"/>
      <c r="H1301" s="12"/>
      <c r="I1301" s="609"/>
      <c r="J1301" s="618"/>
      <c r="K1301" s="619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</row>
    <row r="1302">
      <c r="A1302" s="12"/>
      <c r="B1302" s="605"/>
      <c r="C1302" s="12"/>
      <c r="D1302" s="12"/>
      <c r="E1302" s="12"/>
      <c r="F1302" s="12"/>
      <c r="G1302" s="609"/>
      <c r="H1302" s="12"/>
      <c r="I1302" s="609"/>
      <c r="J1302" s="618"/>
      <c r="K1302" s="619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</row>
    <row r="1303">
      <c r="A1303" s="12"/>
      <c r="B1303" s="605"/>
      <c r="C1303" s="12"/>
      <c r="D1303" s="12"/>
      <c r="E1303" s="12"/>
      <c r="F1303" s="12"/>
      <c r="G1303" s="609"/>
      <c r="H1303" s="12"/>
      <c r="I1303" s="609"/>
      <c r="J1303" s="618"/>
      <c r="K1303" s="619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</row>
    <row r="1304">
      <c r="A1304" s="12"/>
      <c r="B1304" s="605"/>
      <c r="C1304" s="12"/>
      <c r="D1304" s="12"/>
      <c r="E1304" s="12"/>
      <c r="F1304" s="12"/>
      <c r="G1304" s="609"/>
      <c r="H1304" s="12"/>
      <c r="I1304" s="609"/>
      <c r="J1304" s="618"/>
      <c r="K1304" s="619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</row>
    <row r="1305">
      <c r="A1305" s="12"/>
      <c r="B1305" s="605"/>
      <c r="C1305" s="12"/>
      <c r="D1305" s="12"/>
      <c r="E1305" s="12"/>
      <c r="F1305" s="12"/>
      <c r="G1305" s="609"/>
      <c r="H1305" s="12"/>
      <c r="I1305" s="609"/>
      <c r="J1305" s="618"/>
      <c r="K1305" s="619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</row>
    <row r="1306">
      <c r="A1306" s="12"/>
      <c r="B1306" s="605"/>
      <c r="C1306" s="12"/>
      <c r="D1306" s="12"/>
      <c r="E1306" s="12"/>
      <c r="F1306" s="12"/>
      <c r="G1306" s="609"/>
      <c r="H1306" s="12"/>
      <c r="I1306" s="609"/>
      <c r="J1306" s="618"/>
      <c r="K1306" s="619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</row>
    <row r="1307">
      <c r="A1307" s="12"/>
      <c r="B1307" s="605"/>
      <c r="C1307" s="12"/>
      <c r="D1307" s="12"/>
      <c r="E1307" s="12"/>
      <c r="F1307" s="12"/>
      <c r="G1307" s="609"/>
      <c r="H1307" s="12"/>
      <c r="I1307" s="609"/>
      <c r="J1307" s="618"/>
      <c r="K1307" s="619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</row>
    <row r="1308">
      <c r="A1308" s="12"/>
      <c r="B1308" s="605"/>
      <c r="C1308" s="12"/>
      <c r="D1308" s="12"/>
      <c r="E1308" s="12"/>
      <c r="F1308" s="12"/>
      <c r="G1308" s="609"/>
      <c r="H1308" s="12"/>
      <c r="I1308" s="609"/>
      <c r="J1308" s="618"/>
      <c r="K1308" s="619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</row>
    <row r="1309">
      <c r="A1309" s="12"/>
      <c r="B1309" s="605"/>
      <c r="C1309" s="12"/>
      <c r="D1309" s="12"/>
      <c r="E1309" s="12"/>
      <c r="F1309" s="12"/>
      <c r="G1309" s="609"/>
      <c r="H1309" s="12"/>
      <c r="I1309" s="609"/>
      <c r="J1309" s="618"/>
      <c r="K1309" s="619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</row>
    <row r="1310">
      <c r="A1310" s="12"/>
      <c r="B1310" s="605"/>
      <c r="C1310" s="12"/>
      <c r="D1310" s="12"/>
      <c r="E1310" s="12"/>
      <c r="F1310" s="12"/>
      <c r="G1310" s="609"/>
      <c r="H1310" s="12"/>
      <c r="I1310" s="609"/>
      <c r="J1310" s="618"/>
      <c r="K1310" s="619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</row>
    <row r="1311">
      <c r="A1311" s="12"/>
      <c r="B1311" s="605"/>
      <c r="C1311" s="12"/>
      <c r="D1311" s="12"/>
      <c r="E1311" s="12"/>
      <c r="F1311" s="12"/>
      <c r="G1311" s="609"/>
      <c r="H1311" s="12"/>
      <c r="I1311" s="609"/>
      <c r="J1311" s="618"/>
      <c r="K1311" s="619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</row>
    <row r="1312">
      <c r="A1312" s="12"/>
      <c r="B1312" s="605"/>
      <c r="C1312" s="12"/>
      <c r="D1312" s="12"/>
      <c r="E1312" s="12"/>
      <c r="F1312" s="12"/>
      <c r="G1312" s="609"/>
      <c r="H1312" s="12"/>
      <c r="I1312" s="609"/>
      <c r="J1312" s="618"/>
      <c r="K1312" s="619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</row>
    <row r="1313">
      <c r="A1313" s="12"/>
      <c r="B1313" s="605"/>
      <c r="C1313" s="12"/>
      <c r="D1313" s="12"/>
      <c r="E1313" s="12"/>
      <c r="F1313" s="12"/>
      <c r="G1313" s="609"/>
      <c r="H1313" s="12"/>
      <c r="I1313" s="609"/>
      <c r="J1313" s="618"/>
      <c r="K1313" s="619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</row>
    <row r="1314">
      <c r="A1314" s="12"/>
      <c r="B1314" s="605"/>
      <c r="C1314" s="12"/>
      <c r="D1314" s="12"/>
      <c r="E1314" s="12"/>
      <c r="F1314" s="12"/>
      <c r="G1314" s="609"/>
      <c r="H1314" s="12"/>
      <c r="I1314" s="609"/>
      <c r="J1314" s="618"/>
      <c r="K1314" s="619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</row>
    <row r="1315">
      <c r="A1315" s="12"/>
      <c r="B1315" s="605"/>
      <c r="C1315" s="12"/>
      <c r="D1315" s="12"/>
      <c r="E1315" s="12"/>
      <c r="F1315" s="12"/>
      <c r="G1315" s="609"/>
      <c r="H1315" s="12"/>
      <c r="I1315" s="609"/>
      <c r="J1315" s="618"/>
      <c r="K1315" s="619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</row>
    <row r="1316">
      <c r="A1316" s="12"/>
      <c r="B1316" s="605"/>
      <c r="C1316" s="12"/>
      <c r="D1316" s="12"/>
      <c r="E1316" s="12"/>
      <c r="F1316" s="12"/>
      <c r="G1316" s="609"/>
      <c r="H1316" s="12"/>
      <c r="I1316" s="609"/>
      <c r="J1316" s="618"/>
      <c r="K1316" s="619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</row>
    <row r="1317">
      <c r="A1317" s="12"/>
      <c r="B1317" s="605"/>
      <c r="C1317" s="12"/>
      <c r="D1317" s="12"/>
      <c r="E1317" s="12"/>
      <c r="F1317" s="12"/>
      <c r="G1317" s="609"/>
      <c r="H1317" s="12"/>
      <c r="I1317" s="609"/>
      <c r="J1317" s="618"/>
      <c r="K1317" s="619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</row>
    <row r="1318">
      <c r="A1318" s="12"/>
      <c r="B1318" s="605"/>
      <c r="C1318" s="12"/>
      <c r="D1318" s="12"/>
      <c r="E1318" s="12"/>
      <c r="F1318" s="12"/>
      <c r="G1318" s="609"/>
      <c r="H1318" s="12"/>
      <c r="I1318" s="609"/>
      <c r="J1318" s="618"/>
      <c r="K1318" s="619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</row>
    <row r="1319">
      <c r="A1319" s="12"/>
      <c r="B1319" s="605"/>
      <c r="C1319" s="12"/>
      <c r="D1319" s="12"/>
      <c r="E1319" s="12"/>
      <c r="F1319" s="12"/>
      <c r="G1319" s="609"/>
      <c r="H1319" s="12"/>
      <c r="I1319" s="609"/>
      <c r="J1319" s="618"/>
      <c r="K1319" s="619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</row>
    <row r="1320">
      <c r="A1320" s="12"/>
      <c r="B1320" s="605"/>
      <c r="C1320" s="12"/>
      <c r="D1320" s="12"/>
      <c r="E1320" s="12"/>
      <c r="F1320" s="12"/>
      <c r="G1320" s="609"/>
      <c r="H1320" s="12"/>
      <c r="I1320" s="609"/>
      <c r="J1320" s="618"/>
      <c r="K1320" s="619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</row>
    <row r="1321">
      <c r="A1321" s="12"/>
      <c r="B1321" s="605"/>
      <c r="C1321" s="12"/>
      <c r="D1321" s="12"/>
      <c r="E1321" s="12"/>
      <c r="F1321" s="12"/>
      <c r="G1321" s="609"/>
      <c r="H1321" s="12"/>
      <c r="I1321" s="609"/>
      <c r="J1321" s="618"/>
      <c r="K1321" s="619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</row>
    <row r="1322">
      <c r="A1322" s="12"/>
      <c r="B1322" s="605"/>
      <c r="C1322" s="12"/>
      <c r="D1322" s="12"/>
      <c r="E1322" s="12"/>
      <c r="F1322" s="12"/>
      <c r="G1322" s="609"/>
      <c r="H1322" s="12"/>
      <c r="I1322" s="609"/>
      <c r="J1322" s="618"/>
      <c r="K1322" s="619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</row>
    <row r="1323">
      <c r="A1323" s="12"/>
      <c r="B1323" s="605"/>
      <c r="C1323" s="12"/>
      <c r="D1323" s="12"/>
      <c r="E1323" s="12"/>
      <c r="F1323" s="12"/>
      <c r="G1323" s="609"/>
      <c r="H1323" s="12"/>
      <c r="I1323" s="609"/>
      <c r="J1323" s="618"/>
      <c r="K1323" s="619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</row>
    <row r="1324">
      <c r="A1324" s="12"/>
      <c r="B1324" s="605"/>
      <c r="C1324" s="12"/>
      <c r="D1324" s="12"/>
      <c r="E1324" s="12"/>
      <c r="F1324" s="12"/>
      <c r="G1324" s="609"/>
      <c r="H1324" s="12"/>
      <c r="I1324" s="609"/>
      <c r="J1324" s="618"/>
      <c r="K1324" s="619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</row>
    <row r="1325">
      <c r="A1325" s="12"/>
      <c r="B1325" s="605"/>
      <c r="C1325" s="12"/>
      <c r="D1325" s="12"/>
      <c r="E1325" s="12"/>
      <c r="F1325" s="12"/>
      <c r="G1325" s="609"/>
      <c r="H1325" s="12"/>
      <c r="I1325" s="609"/>
      <c r="J1325" s="618"/>
      <c r="K1325" s="619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</row>
    <row r="1326">
      <c r="A1326" s="12"/>
      <c r="B1326" s="605"/>
      <c r="C1326" s="12"/>
      <c r="D1326" s="12"/>
      <c r="E1326" s="12"/>
      <c r="F1326" s="12"/>
      <c r="G1326" s="609"/>
      <c r="H1326" s="12"/>
      <c r="I1326" s="609"/>
      <c r="J1326" s="618"/>
      <c r="K1326" s="619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</row>
    <row r="1327">
      <c r="A1327" s="12"/>
      <c r="B1327" s="605"/>
      <c r="C1327" s="12"/>
      <c r="D1327" s="12"/>
      <c r="E1327" s="12"/>
      <c r="F1327" s="12"/>
      <c r="G1327" s="609"/>
      <c r="H1327" s="12"/>
      <c r="I1327" s="609"/>
      <c r="J1327" s="618"/>
      <c r="K1327" s="619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</row>
    <row r="1328">
      <c r="A1328" s="12"/>
      <c r="B1328" s="605"/>
      <c r="C1328" s="12"/>
      <c r="D1328" s="12"/>
      <c r="E1328" s="12"/>
      <c r="F1328" s="12"/>
      <c r="G1328" s="609"/>
      <c r="H1328" s="12"/>
      <c r="I1328" s="609"/>
      <c r="J1328" s="618"/>
      <c r="K1328" s="619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</row>
    <row r="1329">
      <c r="A1329" s="12"/>
      <c r="B1329" s="605"/>
      <c r="C1329" s="12"/>
      <c r="D1329" s="12"/>
      <c r="E1329" s="12"/>
      <c r="F1329" s="12"/>
      <c r="G1329" s="609"/>
      <c r="H1329" s="12"/>
      <c r="I1329" s="609"/>
      <c r="J1329" s="618"/>
      <c r="K1329" s="619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</row>
    <row r="1330">
      <c r="A1330" s="12"/>
      <c r="B1330" s="605"/>
      <c r="C1330" s="12"/>
      <c r="D1330" s="12"/>
      <c r="E1330" s="12"/>
      <c r="F1330" s="12"/>
      <c r="G1330" s="609"/>
      <c r="H1330" s="12"/>
      <c r="I1330" s="609"/>
      <c r="J1330" s="618"/>
      <c r="K1330" s="619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</row>
    <row r="1331">
      <c r="A1331" s="12"/>
      <c r="B1331" s="605"/>
      <c r="C1331" s="12"/>
      <c r="D1331" s="12"/>
      <c r="E1331" s="12"/>
      <c r="F1331" s="12"/>
      <c r="G1331" s="609"/>
      <c r="H1331" s="12"/>
      <c r="I1331" s="609"/>
      <c r="J1331" s="618"/>
      <c r="K1331" s="619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</row>
    <row r="1332">
      <c r="A1332" s="12"/>
      <c r="B1332" s="605"/>
      <c r="C1332" s="12"/>
      <c r="D1332" s="12"/>
      <c r="E1332" s="12"/>
      <c r="F1332" s="12"/>
      <c r="G1332" s="609"/>
      <c r="H1332" s="12"/>
      <c r="I1332" s="609"/>
      <c r="J1332" s="618"/>
      <c r="K1332" s="619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</row>
    <row r="1333">
      <c r="A1333" s="12"/>
      <c r="B1333" s="605"/>
      <c r="C1333" s="12"/>
      <c r="D1333" s="12"/>
      <c r="E1333" s="12"/>
      <c r="F1333" s="12"/>
      <c r="G1333" s="609"/>
      <c r="H1333" s="12"/>
      <c r="I1333" s="609"/>
      <c r="J1333" s="618"/>
      <c r="K1333" s="619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</row>
    <row r="1334">
      <c r="A1334" s="12"/>
      <c r="B1334" s="605"/>
      <c r="C1334" s="12"/>
      <c r="D1334" s="12"/>
      <c r="E1334" s="12"/>
      <c r="F1334" s="12"/>
      <c r="G1334" s="609"/>
      <c r="H1334" s="12"/>
      <c r="I1334" s="609"/>
      <c r="J1334" s="618"/>
      <c r="K1334" s="619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</row>
    <row r="1335">
      <c r="A1335" s="12"/>
      <c r="B1335" s="605"/>
      <c r="C1335" s="12"/>
      <c r="D1335" s="12"/>
      <c r="E1335" s="12"/>
      <c r="F1335" s="12"/>
      <c r="G1335" s="609"/>
      <c r="H1335" s="12"/>
      <c r="I1335" s="609"/>
      <c r="J1335" s="618"/>
      <c r="K1335" s="619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</row>
    <row r="1336">
      <c r="A1336" s="12"/>
      <c r="B1336" s="605"/>
      <c r="C1336" s="12"/>
      <c r="D1336" s="12"/>
      <c r="E1336" s="12"/>
      <c r="F1336" s="12"/>
      <c r="G1336" s="609"/>
      <c r="H1336" s="12"/>
      <c r="I1336" s="609"/>
      <c r="J1336" s="618"/>
      <c r="K1336" s="619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</row>
    <row r="1337">
      <c r="A1337" s="12"/>
      <c r="B1337" s="605"/>
      <c r="C1337" s="12"/>
      <c r="D1337" s="12"/>
      <c r="E1337" s="12"/>
      <c r="F1337" s="12"/>
      <c r="G1337" s="609"/>
      <c r="H1337" s="12"/>
      <c r="I1337" s="609"/>
      <c r="J1337" s="618"/>
      <c r="K1337" s="619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</row>
    <row r="1338">
      <c r="A1338" s="12"/>
      <c r="B1338" s="605"/>
      <c r="C1338" s="12"/>
      <c r="D1338" s="12"/>
      <c r="E1338" s="12"/>
      <c r="F1338" s="12"/>
      <c r="G1338" s="609"/>
      <c r="H1338" s="12"/>
      <c r="I1338" s="609"/>
      <c r="J1338" s="618"/>
      <c r="K1338" s="619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</row>
    <row r="1339">
      <c r="A1339" s="12"/>
      <c r="B1339" s="605"/>
      <c r="C1339" s="12"/>
      <c r="D1339" s="12"/>
      <c r="E1339" s="12"/>
      <c r="F1339" s="12"/>
      <c r="G1339" s="609"/>
      <c r="H1339" s="12"/>
      <c r="I1339" s="609"/>
      <c r="J1339" s="618"/>
      <c r="K1339" s="619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</row>
    <row r="1340">
      <c r="A1340" s="12"/>
      <c r="B1340" s="605"/>
      <c r="C1340" s="12"/>
      <c r="D1340" s="12"/>
      <c r="E1340" s="12"/>
      <c r="F1340" s="12"/>
      <c r="G1340" s="609"/>
      <c r="H1340" s="12"/>
      <c r="I1340" s="609"/>
      <c r="J1340" s="618"/>
      <c r="K1340" s="619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</row>
    <row r="1341">
      <c r="A1341" s="12"/>
      <c r="B1341" s="605"/>
      <c r="C1341" s="12"/>
      <c r="D1341" s="12"/>
      <c r="E1341" s="12"/>
      <c r="F1341" s="12"/>
      <c r="G1341" s="609"/>
      <c r="H1341" s="12"/>
      <c r="I1341" s="609"/>
      <c r="J1341" s="618"/>
      <c r="K1341" s="619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</row>
    <row r="1342">
      <c r="A1342" s="12"/>
      <c r="B1342" s="605"/>
      <c r="C1342" s="12"/>
      <c r="D1342" s="12"/>
      <c r="E1342" s="12"/>
      <c r="F1342" s="12"/>
      <c r="G1342" s="609"/>
      <c r="H1342" s="12"/>
      <c r="I1342" s="609"/>
      <c r="J1342" s="618"/>
      <c r="K1342" s="619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</row>
    <row r="1343">
      <c r="A1343" s="12"/>
      <c r="B1343" s="605"/>
      <c r="C1343" s="12"/>
      <c r="D1343" s="12"/>
      <c r="E1343" s="12"/>
      <c r="F1343" s="12"/>
      <c r="G1343" s="609"/>
      <c r="H1343" s="12"/>
      <c r="I1343" s="609"/>
      <c r="J1343" s="618"/>
      <c r="K1343" s="619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</row>
    <row r="1344">
      <c r="A1344" s="12"/>
      <c r="B1344" s="605"/>
      <c r="C1344" s="12"/>
      <c r="D1344" s="12"/>
      <c r="E1344" s="12"/>
      <c r="F1344" s="12"/>
      <c r="G1344" s="609"/>
      <c r="H1344" s="12"/>
      <c r="I1344" s="609"/>
      <c r="J1344" s="618"/>
      <c r="K1344" s="619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</row>
    <row r="1345">
      <c r="A1345" s="12"/>
      <c r="B1345" s="605"/>
      <c r="C1345" s="12"/>
      <c r="D1345" s="12"/>
      <c r="E1345" s="12"/>
      <c r="F1345" s="12"/>
      <c r="G1345" s="609"/>
      <c r="H1345" s="12"/>
      <c r="I1345" s="609"/>
      <c r="J1345" s="618"/>
      <c r="K1345" s="619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</row>
    <row r="1346">
      <c r="A1346" s="12"/>
      <c r="B1346" s="605"/>
      <c r="C1346" s="12"/>
      <c r="D1346" s="12"/>
      <c r="E1346" s="12"/>
      <c r="F1346" s="12"/>
      <c r="G1346" s="609"/>
      <c r="H1346" s="12"/>
      <c r="I1346" s="609"/>
      <c r="J1346" s="618"/>
      <c r="K1346" s="619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</row>
    <row r="1347">
      <c r="A1347" s="12"/>
      <c r="B1347" s="605"/>
      <c r="C1347" s="12"/>
      <c r="D1347" s="12"/>
      <c r="E1347" s="12"/>
      <c r="F1347" s="12"/>
      <c r="G1347" s="609"/>
      <c r="H1347" s="12"/>
      <c r="I1347" s="609"/>
      <c r="J1347" s="618"/>
      <c r="K1347" s="619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</row>
    <row r="1348">
      <c r="A1348" s="12"/>
      <c r="B1348" s="605"/>
      <c r="C1348" s="12"/>
      <c r="D1348" s="12"/>
      <c r="E1348" s="12"/>
      <c r="F1348" s="12"/>
      <c r="G1348" s="609"/>
      <c r="H1348" s="12"/>
      <c r="I1348" s="609"/>
      <c r="J1348" s="618"/>
      <c r="K1348" s="619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</row>
    <row r="1349">
      <c r="A1349" s="12"/>
      <c r="B1349" s="605"/>
      <c r="C1349" s="12"/>
      <c r="D1349" s="12"/>
      <c r="E1349" s="12"/>
      <c r="F1349" s="12"/>
      <c r="G1349" s="609"/>
      <c r="H1349" s="12"/>
      <c r="I1349" s="609"/>
      <c r="J1349" s="618"/>
      <c r="K1349" s="619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</row>
    <row r="1350">
      <c r="A1350" s="12"/>
      <c r="B1350" s="605"/>
      <c r="C1350" s="12"/>
      <c r="D1350" s="12"/>
      <c r="E1350" s="12"/>
      <c r="F1350" s="12"/>
      <c r="G1350" s="609"/>
      <c r="H1350" s="12"/>
      <c r="I1350" s="609"/>
      <c r="J1350" s="618"/>
      <c r="K1350" s="619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</row>
    <row r="1351">
      <c r="A1351" s="12"/>
      <c r="B1351" s="605"/>
      <c r="C1351" s="12"/>
      <c r="D1351" s="12"/>
      <c r="E1351" s="12"/>
      <c r="F1351" s="12"/>
      <c r="G1351" s="609"/>
      <c r="H1351" s="12"/>
      <c r="I1351" s="609"/>
      <c r="J1351" s="618"/>
      <c r="K1351" s="619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</row>
    <row r="1352">
      <c r="A1352" s="12"/>
      <c r="B1352" s="605"/>
      <c r="C1352" s="12"/>
      <c r="D1352" s="12"/>
      <c r="E1352" s="12"/>
      <c r="F1352" s="12"/>
      <c r="G1352" s="609"/>
      <c r="H1352" s="12"/>
      <c r="I1352" s="609"/>
      <c r="J1352" s="618"/>
      <c r="K1352" s="619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</row>
    <row r="1353">
      <c r="A1353" s="12"/>
      <c r="B1353" s="605"/>
      <c r="C1353" s="12"/>
      <c r="D1353" s="12"/>
      <c r="E1353" s="12"/>
      <c r="F1353" s="12"/>
      <c r="G1353" s="609"/>
      <c r="H1353" s="12"/>
      <c r="I1353" s="609"/>
      <c r="J1353" s="618"/>
      <c r="K1353" s="619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</row>
    <row r="1354">
      <c r="A1354" s="12"/>
      <c r="B1354" s="605"/>
      <c r="C1354" s="12"/>
      <c r="D1354" s="12"/>
      <c r="E1354" s="12"/>
      <c r="F1354" s="12"/>
      <c r="G1354" s="609"/>
      <c r="H1354" s="12"/>
      <c r="I1354" s="609"/>
      <c r="J1354" s="618"/>
      <c r="K1354" s="619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</row>
    <row r="1355">
      <c r="A1355" s="12"/>
      <c r="B1355" s="605"/>
      <c r="C1355" s="12"/>
      <c r="D1355" s="12"/>
      <c r="E1355" s="12"/>
      <c r="F1355" s="12"/>
      <c r="G1355" s="609"/>
      <c r="H1355" s="12"/>
      <c r="I1355" s="609"/>
      <c r="J1355" s="618"/>
      <c r="K1355" s="619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</row>
    <row r="1356">
      <c r="A1356" s="12"/>
      <c r="B1356" s="605"/>
      <c r="C1356" s="12"/>
      <c r="D1356" s="12"/>
      <c r="E1356" s="12"/>
      <c r="F1356" s="12"/>
      <c r="G1356" s="609"/>
      <c r="H1356" s="12"/>
      <c r="I1356" s="609"/>
      <c r="J1356" s="618"/>
      <c r="K1356" s="619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</row>
    <row r="1357">
      <c r="A1357" s="12"/>
      <c r="B1357" s="605"/>
      <c r="C1357" s="12"/>
      <c r="D1357" s="12"/>
      <c r="E1357" s="12"/>
      <c r="F1357" s="12"/>
      <c r="G1357" s="609"/>
      <c r="H1357" s="12"/>
      <c r="I1357" s="609"/>
      <c r="J1357" s="618"/>
      <c r="K1357" s="619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</row>
    <row r="1358">
      <c r="A1358" s="12"/>
      <c r="B1358" s="605"/>
      <c r="C1358" s="12"/>
      <c r="D1358" s="12"/>
      <c r="E1358" s="12"/>
      <c r="F1358" s="12"/>
      <c r="G1358" s="609"/>
      <c r="H1358" s="12"/>
      <c r="I1358" s="609"/>
      <c r="J1358" s="618"/>
      <c r="K1358" s="619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</row>
    <row r="1359">
      <c r="A1359" s="12"/>
      <c r="B1359" s="605"/>
      <c r="C1359" s="12"/>
      <c r="D1359" s="12"/>
      <c r="E1359" s="12"/>
      <c r="F1359" s="12"/>
      <c r="G1359" s="609"/>
      <c r="H1359" s="12"/>
      <c r="I1359" s="609"/>
      <c r="J1359" s="618"/>
      <c r="K1359" s="619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</row>
    <row r="1360">
      <c r="A1360" s="12"/>
      <c r="B1360" s="605"/>
      <c r="C1360" s="12"/>
      <c r="D1360" s="12"/>
      <c r="E1360" s="12"/>
      <c r="F1360" s="12"/>
      <c r="G1360" s="609"/>
      <c r="H1360" s="12"/>
      <c r="I1360" s="609"/>
      <c r="J1360" s="618"/>
      <c r="K1360" s="619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</row>
    <row r="1361">
      <c r="A1361" s="12"/>
      <c r="B1361" s="605"/>
      <c r="C1361" s="12"/>
      <c r="D1361" s="12"/>
      <c r="E1361" s="12"/>
      <c r="F1361" s="12"/>
      <c r="G1361" s="609"/>
      <c r="H1361" s="12"/>
      <c r="I1361" s="609"/>
      <c r="J1361" s="618"/>
      <c r="K1361" s="619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</row>
    <row r="1362">
      <c r="A1362" s="12"/>
      <c r="B1362" s="605"/>
      <c r="C1362" s="12"/>
      <c r="D1362" s="12"/>
      <c r="E1362" s="12"/>
      <c r="F1362" s="12"/>
      <c r="G1362" s="609"/>
      <c r="H1362" s="12"/>
      <c r="I1362" s="609"/>
      <c r="J1362" s="618"/>
      <c r="K1362" s="619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</row>
    <row r="1363">
      <c r="A1363" s="12"/>
      <c r="B1363" s="605"/>
      <c r="C1363" s="12"/>
      <c r="D1363" s="12"/>
      <c r="E1363" s="12"/>
      <c r="F1363" s="12"/>
      <c r="G1363" s="609"/>
      <c r="H1363" s="12"/>
      <c r="I1363" s="609"/>
      <c r="J1363" s="618"/>
      <c r="K1363" s="619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</row>
    <row r="1364">
      <c r="A1364" s="12"/>
      <c r="B1364" s="605"/>
      <c r="C1364" s="12"/>
      <c r="D1364" s="12"/>
      <c r="E1364" s="12"/>
      <c r="F1364" s="12"/>
      <c r="G1364" s="609"/>
      <c r="H1364" s="12"/>
      <c r="I1364" s="609"/>
      <c r="J1364" s="618"/>
      <c r="K1364" s="619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</row>
    <row r="1365">
      <c r="A1365" s="12"/>
      <c r="B1365" s="605"/>
      <c r="C1365" s="12"/>
      <c r="D1365" s="12"/>
      <c r="E1365" s="12"/>
      <c r="F1365" s="12"/>
      <c r="G1365" s="609"/>
      <c r="H1365" s="12"/>
      <c r="I1365" s="609"/>
      <c r="J1365" s="618"/>
      <c r="K1365" s="619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</row>
    <row r="1366">
      <c r="A1366" s="12"/>
      <c r="B1366" s="605"/>
      <c r="C1366" s="12"/>
      <c r="D1366" s="12"/>
      <c r="E1366" s="12"/>
      <c r="F1366" s="12"/>
      <c r="G1366" s="609"/>
      <c r="H1366" s="12"/>
      <c r="I1366" s="609"/>
      <c r="J1366" s="618"/>
      <c r="K1366" s="619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</row>
    <row r="1367">
      <c r="A1367" s="12"/>
      <c r="B1367" s="605"/>
      <c r="C1367" s="12"/>
      <c r="D1367" s="12"/>
      <c r="E1367" s="12"/>
      <c r="F1367" s="12"/>
      <c r="G1367" s="609"/>
      <c r="H1367" s="12"/>
      <c r="I1367" s="609"/>
      <c r="J1367" s="618"/>
      <c r="K1367" s="619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</row>
    <row r="1368">
      <c r="A1368" s="12"/>
      <c r="B1368" s="605"/>
      <c r="C1368" s="12"/>
      <c r="D1368" s="12"/>
      <c r="E1368" s="12"/>
      <c r="F1368" s="12"/>
      <c r="G1368" s="609"/>
      <c r="H1368" s="12"/>
      <c r="I1368" s="609"/>
      <c r="J1368" s="618"/>
      <c r="K1368" s="619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</row>
    <row r="1369">
      <c r="A1369" s="12"/>
      <c r="B1369" s="605"/>
      <c r="C1369" s="12"/>
      <c r="D1369" s="12"/>
      <c r="E1369" s="12"/>
      <c r="F1369" s="12"/>
      <c r="G1369" s="609"/>
      <c r="H1369" s="12"/>
      <c r="I1369" s="609"/>
      <c r="J1369" s="618"/>
      <c r="K1369" s="619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</row>
    <row r="1370">
      <c r="A1370" s="12"/>
      <c r="B1370" s="605"/>
      <c r="C1370" s="12"/>
      <c r="D1370" s="12"/>
      <c r="E1370" s="12"/>
      <c r="F1370" s="12"/>
      <c r="G1370" s="609"/>
      <c r="H1370" s="12"/>
      <c r="I1370" s="609"/>
      <c r="J1370" s="618"/>
      <c r="K1370" s="619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</row>
    <row r="1371">
      <c r="A1371" s="12"/>
      <c r="B1371" s="605"/>
      <c r="C1371" s="12"/>
      <c r="D1371" s="12"/>
      <c r="E1371" s="12"/>
      <c r="F1371" s="12"/>
      <c r="G1371" s="609"/>
      <c r="H1371" s="12"/>
      <c r="I1371" s="609"/>
      <c r="J1371" s="618"/>
      <c r="K1371" s="619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</row>
    <row r="1372">
      <c r="A1372" s="12"/>
      <c r="B1372" s="605"/>
      <c r="C1372" s="12"/>
      <c r="D1372" s="12"/>
      <c r="E1372" s="12"/>
      <c r="F1372" s="12"/>
      <c r="G1372" s="609"/>
      <c r="H1372" s="12"/>
      <c r="I1372" s="609"/>
      <c r="J1372" s="618"/>
      <c r="K1372" s="619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</row>
    <row r="1373">
      <c r="A1373" s="12"/>
      <c r="B1373" s="605"/>
      <c r="C1373" s="12"/>
      <c r="D1373" s="12"/>
      <c r="E1373" s="12"/>
      <c r="F1373" s="12"/>
      <c r="G1373" s="609"/>
      <c r="H1373" s="12"/>
      <c r="I1373" s="609"/>
      <c r="J1373" s="618"/>
      <c r="K1373" s="619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</row>
    <row r="1374">
      <c r="A1374" s="12"/>
      <c r="B1374" s="605"/>
      <c r="C1374" s="12"/>
      <c r="D1374" s="12"/>
      <c r="E1374" s="12"/>
      <c r="F1374" s="12"/>
      <c r="G1374" s="609"/>
      <c r="H1374" s="12"/>
      <c r="I1374" s="609"/>
      <c r="J1374" s="618"/>
      <c r="K1374" s="619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</row>
    <row r="1375">
      <c r="A1375" s="12"/>
      <c r="B1375" s="605"/>
      <c r="C1375" s="12"/>
      <c r="D1375" s="12"/>
      <c r="E1375" s="12"/>
      <c r="F1375" s="12"/>
      <c r="G1375" s="609"/>
      <c r="H1375" s="12"/>
      <c r="I1375" s="609"/>
      <c r="J1375" s="618"/>
      <c r="K1375" s="619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</row>
  </sheetData>
  <autoFilter ref="$B$3:$J$558">
    <filterColumn colId="4">
      <filters blank="1">
        <filter val="1"/>
        <filter val="*"/>
      </filters>
    </filterColumn>
  </autoFilter>
  <mergeCells count="13">
    <mergeCell ref="I570:K570"/>
    <mergeCell ref="I573:K573"/>
    <mergeCell ref="I574:K574"/>
    <mergeCell ref="I575:K575"/>
    <mergeCell ref="W580:AB580"/>
    <mergeCell ref="W586:AB586"/>
    <mergeCell ref="A1:V1"/>
    <mergeCell ref="I561:K561"/>
    <mergeCell ref="I562:K562"/>
    <mergeCell ref="I563:K563"/>
    <mergeCell ref="I567:K567"/>
    <mergeCell ref="I568:K568"/>
    <mergeCell ref="I569:K569"/>
  </mergeCells>
  <conditionalFormatting sqref="F4:F25 F27:F213 F218:F265 F269:F282 F284:F382 F385:F406 F408:F501 F503:F516 F518:F555">
    <cfRule type="cellIs" dxfId="6" priority="1" operator="equal">
      <formula>1</formula>
    </cfRule>
  </conditionalFormatting>
  <conditionalFormatting sqref="F4:F25 F27:F213 F218:F265 F269:F282 F284:F382 F385:F406 F408:F501 F503:F516 F518:F555">
    <cfRule type="cellIs" dxfId="7" priority="2" operator="equal">
      <formula>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5"/>
    <col customWidth="1" min="2" max="2" width="10.75"/>
    <col customWidth="1" min="3" max="3" width="19.5"/>
    <col customWidth="1" min="4" max="4" width="59.88"/>
    <col customWidth="1" min="5" max="5" width="22.88"/>
    <col customWidth="1" hidden="1" min="6" max="6" width="24.25"/>
    <col customWidth="1" min="7" max="7" width="22.0"/>
    <col customWidth="1" min="8" max="9" width="15.63"/>
    <col customWidth="1" min="10" max="10" width="19.0"/>
  </cols>
  <sheetData>
    <row r="1">
      <c r="A1" s="5" t="s">
        <v>483</v>
      </c>
    </row>
    <row r="4" ht="22.5" customHeight="1">
      <c r="B4" s="376" t="s">
        <v>484</v>
      </c>
      <c r="C4" s="376" t="s">
        <v>488</v>
      </c>
      <c r="D4" s="376" t="s">
        <v>489</v>
      </c>
      <c r="E4" s="377" t="s">
        <v>490</v>
      </c>
      <c r="F4" s="377" t="s">
        <v>491</v>
      </c>
      <c r="G4" s="378" t="s">
        <v>492</v>
      </c>
      <c r="H4" s="377" t="s">
        <v>493</v>
      </c>
      <c r="I4" s="377" t="s">
        <v>496</v>
      </c>
      <c r="J4" s="379" t="s">
        <v>497</v>
      </c>
    </row>
    <row r="5" ht="22.5" customHeight="1">
      <c r="B5" s="380">
        <v>138.0</v>
      </c>
      <c r="C5" s="380" t="s">
        <v>498</v>
      </c>
      <c r="D5" s="380" t="s">
        <v>499</v>
      </c>
      <c r="E5" s="381">
        <v>0.0</v>
      </c>
      <c r="F5" s="381">
        <v>3100000.0</v>
      </c>
      <c r="G5" s="381">
        <f t="shared" ref="G5:G21" si="1">F5</f>
        <v>3100000</v>
      </c>
      <c r="H5" s="381">
        <v>1653805.0</v>
      </c>
      <c r="I5" s="382">
        <f t="shared" ref="I5:I29" si="2">G5-H5</f>
        <v>1446195</v>
      </c>
      <c r="J5" s="383"/>
    </row>
    <row r="6" ht="22.5" customHeight="1">
      <c r="B6" s="380">
        <v>139.0</v>
      </c>
      <c r="C6" s="380" t="s">
        <v>498</v>
      </c>
      <c r="D6" s="380" t="s">
        <v>501</v>
      </c>
      <c r="E6" s="381">
        <v>0.0</v>
      </c>
      <c r="F6" s="381">
        <v>3000000.0</v>
      </c>
      <c r="G6" s="381">
        <f t="shared" si="1"/>
        <v>3000000</v>
      </c>
      <c r="H6" s="381">
        <v>1791267.0</v>
      </c>
      <c r="I6" s="382">
        <f t="shared" si="2"/>
        <v>1208733</v>
      </c>
      <c r="J6" s="383"/>
    </row>
    <row r="7" ht="22.5" customHeight="1">
      <c r="B7" s="380">
        <v>106.0</v>
      </c>
      <c r="C7" s="380" t="s">
        <v>498</v>
      </c>
      <c r="D7" s="380" t="s">
        <v>504</v>
      </c>
      <c r="E7" s="381">
        <v>0.0</v>
      </c>
      <c r="F7" s="381">
        <v>0.0</v>
      </c>
      <c r="G7" s="381">
        <f t="shared" si="1"/>
        <v>0</v>
      </c>
      <c r="H7" s="381">
        <v>0.0</v>
      </c>
      <c r="I7" s="382">
        <f t="shared" si="2"/>
        <v>0</v>
      </c>
      <c r="J7" s="383"/>
    </row>
    <row r="8" ht="22.5" customHeight="1">
      <c r="B8" s="380">
        <v>26.0</v>
      </c>
      <c r="C8" s="380" t="s">
        <v>498</v>
      </c>
      <c r="D8" s="380" t="s">
        <v>507</v>
      </c>
      <c r="E8" s="381">
        <v>0.0</v>
      </c>
      <c r="F8" s="381">
        <v>0.0</v>
      </c>
      <c r="G8" s="381">
        <f t="shared" si="1"/>
        <v>0</v>
      </c>
      <c r="H8" s="381">
        <v>0.0</v>
      </c>
      <c r="I8" s="382">
        <f t="shared" si="2"/>
        <v>0</v>
      </c>
      <c r="J8" s="383"/>
    </row>
    <row r="9" ht="22.5" customHeight="1">
      <c r="B9" s="380">
        <v>42.0</v>
      </c>
      <c r="C9" s="380" t="s">
        <v>509</v>
      </c>
      <c r="D9" s="380" t="s">
        <v>510</v>
      </c>
      <c r="E9" s="381">
        <v>750000.0</v>
      </c>
      <c r="F9" s="381">
        <v>750000.0</v>
      </c>
      <c r="G9" s="381">
        <f t="shared" si="1"/>
        <v>750000</v>
      </c>
      <c r="H9" s="381">
        <v>1033558.0</v>
      </c>
      <c r="I9" s="382">
        <f t="shared" si="2"/>
        <v>-283558</v>
      </c>
      <c r="J9" s="383"/>
    </row>
    <row r="10" ht="22.5" customHeight="1">
      <c r="B10" s="380">
        <v>43.0</v>
      </c>
      <c r="C10" s="380" t="s">
        <v>509</v>
      </c>
      <c r="D10" s="380" t="s">
        <v>511</v>
      </c>
      <c r="E10" s="381">
        <v>0.0</v>
      </c>
      <c r="F10" s="381">
        <v>0.0</v>
      </c>
      <c r="G10" s="381">
        <f t="shared" si="1"/>
        <v>0</v>
      </c>
      <c r="H10" s="381">
        <v>0.0</v>
      </c>
      <c r="I10" s="382">
        <f t="shared" si="2"/>
        <v>0</v>
      </c>
      <c r="J10" s="383"/>
    </row>
    <row r="11" ht="22.5" customHeight="1">
      <c r="B11" s="380">
        <v>127.0</v>
      </c>
      <c r="C11" s="380" t="s">
        <v>509</v>
      </c>
      <c r="D11" s="380" t="s">
        <v>514</v>
      </c>
      <c r="E11" s="381">
        <v>0.0</v>
      </c>
      <c r="F11" s="381">
        <v>0.0</v>
      </c>
      <c r="G11" s="381">
        <f t="shared" si="1"/>
        <v>0</v>
      </c>
      <c r="H11" s="381">
        <v>0.0</v>
      </c>
      <c r="I11" s="382">
        <f t="shared" si="2"/>
        <v>0</v>
      </c>
      <c r="J11" s="383"/>
    </row>
    <row r="12" ht="22.5" customHeight="1">
      <c r="B12" s="380">
        <v>126.0</v>
      </c>
      <c r="C12" s="380" t="s">
        <v>509</v>
      </c>
      <c r="D12" s="380" t="s">
        <v>515</v>
      </c>
      <c r="E12" s="381">
        <v>0.0</v>
      </c>
      <c r="F12" s="381">
        <v>0.0</v>
      </c>
      <c r="G12" s="381">
        <f t="shared" si="1"/>
        <v>0</v>
      </c>
      <c r="H12" s="381">
        <v>0.0</v>
      </c>
      <c r="I12" s="382">
        <f t="shared" si="2"/>
        <v>0</v>
      </c>
      <c r="J12" s="383"/>
    </row>
    <row r="13" ht="22.5" customHeight="1">
      <c r="B13" s="380">
        <v>125.0</v>
      </c>
      <c r="C13" s="380" t="s">
        <v>509</v>
      </c>
      <c r="D13" s="380" t="s">
        <v>516</v>
      </c>
      <c r="E13" s="381">
        <v>0.0</v>
      </c>
      <c r="F13" s="381">
        <v>0.0</v>
      </c>
      <c r="G13" s="381">
        <f t="shared" si="1"/>
        <v>0</v>
      </c>
      <c r="H13" s="381">
        <v>1318635.0</v>
      </c>
      <c r="I13" s="382">
        <f t="shared" si="2"/>
        <v>-1318635</v>
      </c>
      <c r="J13" s="383"/>
    </row>
    <row r="14" ht="22.5" customHeight="1">
      <c r="B14" s="380">
        <v>109.0</v>
      </c>
      <c r="C14" s="380" t="s">
        <v>509</v>
      </c>
      <c r="D14" s="380" t="s">
        <v>518</v>
      </c>
      <c r="E14" s="381">
        <v>0.0</v>
      </c>
      <c r="F14" s="381">
        <v>0.0</v>
      </c>
      <c r="G14" s="381">
        <f t="shared" si="1"/>
        <v>0</v>
      </c>
      <c r="H14" s="381">
        <v>0.0</v>
      </c>
      <c r="I14" s="382">
        <f t="shared" si="2"/>
        <v>0</v>
      </c>
      <c r="J14" s="383"/>
    </row>
    <row r="15" ht="22.5" customHeight="1">
      <c r="B15" s="380">
        <v>130.0</v>
      </c>
      <c r="C15" s="380" t="s">
        <v>509</v>
      </c>
      <c r="D15" s="380" t="s">
        <v>519</v>
      </c>
      <c r="E15" s="381">
        <v>0.0</v>
      </c>
      <c r="F15" s="381">
        <v>4508773.0</v>
      </c>
      <c r="G15" s="381">
        <f t="shared" si="1"/>
        <v>4508773</v>
      </c>
      <c r="H15" s="381">
        <v>4678364.0</v>
      </c>
      <c r="I15" s="382">
        <f t="shared" si="2"/>
        <v>-169591</v>
      </c>
      <c r="J15" s="383"/>
    </row>
    <row r="16" ht="22.5" customHeight="1">
      <c r="B16" s="380">
        <v>131.0</v>
      </c>
      <c r="C16" s="380" t="s">
        <v>509</v>
      </c>
      <c r="D16" s="380" t="s">
        <v>521</v>
      </c>
      <c r="E16" s="381">
        <v>0.0</v>
      </c>
      <c r="F16" s="381">
        <v>0.0</v>
      </c>
      <c r="G16" s="381">
        <f t="shared" si="1"/>
        <v>0</v>
      </c>
      <c r="H16" s="381">
        <v>210238.0</v>
      </c>
      <c r="I16" s="382">
        <f t="shared" si="2"/>
        <v>-210238</v>
      </c>
      <c r="J16" s="383"/>
    </row>
    <row r="17" ht="22.5" customHeight="1">
      <c r="B17" s="380">
        <v>132.0</v>
      </c>
      <c r="C17" s="380" t="s">
        <v>509</v>
      </c>
      <c r="D17" s="380" t="s">
        <v>524</v>
      </c>
      <c r="E17" s="381">
        <v>3936000.0</v>
      </c>
      <c r="F17" s="381">
        <v>3936000.0</v>
      </c>
      <c r="G17" s="381">
        <f t="shared" si="1"/>
        <v>3936000</v>
      </c>
      <c r="H17" s="381">
        <v>3963281.0</v>
      </c>
      <c r="I17" s="382">
        <f t="shared" si="2"/>
        <v>-27281</v>
      </c>
      <c r="J17" s="383"/>
    </row>
    <row r="18" ht="22.5" customHeight="1">
      <c r="B18" s="380">
        <v>133.0</v>
      </c>
      <c r="C18" s="380" t="s">
        <v>509</v>
      </c>
      <c r="D18" s="380" t="s">
        <v>525</v>
      </c>
      <c r="E18" s="381">
        <v>0.0</v>
      </c>
      <c r="F18" s="381">
        <v>0.0</v>
      </c>
      <c r="G18" s="381">
        <f t="shared" si="1"/>
        <v>0</v>
      </c>
      <c r="H18" s="381">
        <v>0.0</v>
      </c>
      <c r="I18" s="382">
        <f t="shared" si="2"/>
        <v>0</v>
      </c>
      <c r="J18" s="383"/>
    </row>
    <row r="19" ht="22.5" customHeight="1">
      <c r="B19" s="380">
        <v>134.0</v>
      </c>
      <c r="C19" s="380" t="s">
        <v>509</v>
      </c>
      <c r="D19" s="380" t="s">
        <v>530</v>
      </c>
      <c r="E19" s="381">
        <v>2000000.0</v>
      </c>
      <c r="F19" s="381">
        <v>1491227.0</v>
      </c>
      <c r="G19" s="381">
        <f t="shared" si="1"/>
        <v>1491227</v>
      </c>
      <c r="H19" s="381">
        <v>1127691.0</v>
      </c>
      <c r="I19" s="382">
        <f t="shared" si="2"/>
        <v>363536</v>
      </c>
      <c r="J19" s="383"/>
    </row>
    <row r="20" ht="22.5" customHeight="1">
      <c r="B20" s="380">
        <v>135.0</v>
      </c>
      <c r="C20" s="380" t="s">
        <v>509</v>
      </c>
      <c r="D20" s="380" t="s">
        <v>531</v>
      </c>
      <c r="E20" s="381">
        <v>0.0</v>
      </c>
      <c r="F20" s="381">
        <v>0.0</v>
      </c>
      <c r="G20" s="381">
        <f t="shared" si="1"/>
        <v>0</v>
      </c>
      <c r="H20" s="381">
        <v>0.0</v>
      </c>
      <c r="I20" s="382">
        <f t="shared" si="2"/>
        <v>0</v>
      </c>
      <c r="J20" s="383"/>
    </row>
    <row r="21" ht="22.5" customHeight="1">
      <c r="B21" s="380">
        <v>136.0</v>
      </c>
      <c r="C21" s="380" t="s">
        <v>509</v>
      </c>
      <c r="D21" s="380" t="s">
        <v>532</v>
      </c>
      <c r="E21" s="381">
        <v>1.14E7</v>
      </c>
      <c r="F21" s="381">
        <v>1.14E7</v>
      </c>
      <c r="G21" s="381">
        <f t="shared" si="1"/>
        <v>11400000</v>
      </c>
      <c r="H21" s="381">
        <v>1.3735459E7</v>
      </c>
      <c r="I21" s="382">
        <f t="shared" si="2"/>
        <v>-2335459</v>
      </c>
      <c r="J21" s="383"/>
    </row>
    <row r="22" ht="22.5" customHeight="1">
      <c r="B22" s="380">
        <v>137.0</v>
      </c>
      <c r="C22" s="380" t="s">
        <v>509</v>
      </c>
      <c r="D22" s="380" t="s">
        <v>535</v>
      </c>
      <c r="E22" s="381">
        <v>5000000.0</v>
      </c>
      <c r="F22" s="381">
        <v>5000000.0</v>
      </c>
      <c r="G22" s="388">
        <v>5000000.0</v>
      </c>
      <c r="H22" s="381">
        <v>6416114.0</v>
      </c>
      <c r="I22" s="382">
        <f t="shared" si="2"/>
        <v>-1416114</v>
      </c>
      <c r="J22" s="383"/>
    </row>
    <row r="23" ht="22.5" customHeight="1">
      <c r="B23" s="380">
        <v>44.0</v>
      </c>
      <c r="C23" s="380" t="s">
        <v>509</v>
      </c>
      <c r="D23" s="380" t="s">
        <v>536</v>
      </c>
      <c r="E23" s="381">
        <v>0.0</v>
      </c>
      <c r="F23" s="381">
        <v>0.0</v>
      </c>
      <c r="G23" s="381">
        <f t="shared" ref="G23:G24" si="3">F23</f>
        <v>0</v>
      </c>
      <c r="H23" s="381">
        <v>0.0</v>
      </c>
      <c r="I23" s="382">
        <f t="shared" si="2"/>
        <v>0</v>
      </c>
      <c r="J23" s="383"/>
    </row>
    <row r="24" ht="22.5" customHeight="1">
      <c r="B24" s="380">
        <v>105.0</v>
      </c>
      <c r="C24" s="380" t="s">
        <v>538</v>
      </c>
      <c r="D24" s="380" t="s">
        <v>539</v>
      </c>
      <c r="E24" s="381">
        <v>2004000.0</v>
      </c>
      <c r="F24" s="381">
        <v>2004000.0</v>
      </c>
      <c r="G24" s="381">
        <f t="shared" si="3"/>
        <v>2004000</v>
      </c>
      <c r="H24" s="381">
        <v>2004000.0</v>
      </c>
      <c r="I24" s="382">
        <f t="shared" si="2"/>
        <v>0</v>
      </c>
      <c r="J24" s="383"/>
    </row>
    <row r="25" ht="22.5" customHeight="1">
      <c r="A25" s="389"/>
      <c r="B25" s="390">
        <v>93.0</v>
      </c>
      <c r="C25" s="380" t="s">
        <v>540</v>
      </c>
      <c r="D25" s="380" t="s">
        <v>541</v>
      </c>
      <c r="E25" s="381">
        <v>7632000.0</v>
      </c>
      <c r="F25" s="381">
        <v>5082000.0</v>
      </c>
      <c r="G25" s="388">
        <v>5082000.0</v>
      </c>
      <c r="H25" s="381">
        <v>1.2628931E7</v>
      </c>
      <c r="I25" s="382">
        <f t="shared" si="2"/>
        <v>-7546931</v>
      </c>
      <c r="J25" s="383"/>
    </row>
    <row r="26" ht="22.5" customHeight="1">
      <c r="B26" s="390">
        <v>113.0</v>
      </c>
      <c r="C26" s="380" t="s">
        <v>540</v>
      </c>
      <c r="D26" s="380" t="s">
        <v>542</v>
      </c>
      <c r="E26" s="381">
        <v>6000000.0</v>
      </c>
      <c r="F26" s="381">
        <v>2500000.0</v>
      </c>
      <c r="G26" s="388">
        <v>2500000.0</v>
      </c>
      <c r="H26" s="381">
        <v>0.0</v>
      </c>
      <c r="I26" s="382">
        <f t="shared" si="2"/>
        <v>2500000</v>
      </c>
      <c r="J26" s="383"/>
    </row>
    <row r="27" ht="22.5" customHeight="1">
      <c r="A27" s="389"/>
      <c r="B27" s="380">
        <v>100.0</v>
      </c>
      <c r="C27" s="380" t="s">
        <v>540</v>
      </c>
      <c r="D27" s="380" t="s">
        <v>543</v>
      </c>
      <c r="E27" s="381">
        <v>8520000.0</v>
      </c>
      <c r="F27" s="381">
        <v>5970000.0</v>
      </c>
      <c r="G27" s="388">
        <v>5970000.0</v>
      </c>
      <c r="H27" s="381">
        <v>5083471.0</v>
      </c>
      <c r="I27" s="382">
        <f t="shared" si="2"/>
        <v>886529</v>
      </c>
      <c r="J27" s="383"/>
    </row>
    <row r="28" ht="22.5" customHeight="1">
      <c r="B28" s="380">
        <v>102.0</v>
      </c>
      <c r="C28" s="380" t="s">
        <v>540</v>
      </c>
      <c r="D28" s="380" t="s">
        <v>545</v>
      </c>
      <c r="E28" s="381">
        <v>2340000.0</v>
      </c>
      <c r="F28" s="381">
        <v>2340000.0</v>
      </c>
      <c r="G28" s="381">
        <f>F28</f>
        <v>2340000</v>
      </c>
      <c r="H28" s="381">
        <v>981712.0</v>
      </c>
      <c r="I28" s="382">
        <f t="shared" si="2"/>
        <v>1358288</v>
      </c>
      <c r="J28" s="383"/>
    </row>
    <row r="29" ht="22.5" customHeight="1">
      <c r="B29" s="380">
        <v>8.0</v>
      </c>
      <c r="C29" s="380" t="s">
        <v>540</v>
      </c>
      <c r="D29" s="380" t="s">
        <v>546</v>
      </c>
      <c r="E29" s="381">
        <v>4800000.0</v>
      </c>
      <c r="F29" s="381">
        <v>3300000.0</v>
      </c>
      <c r="G29" s="388">
        <v>3300000.0</v>
      </c>
      <c r="H29" s="381">
        <v>1172297.0</v>
      </c>
      <c r="I29" s="382">
        <f t="shared" si="2"/>
        <v>2127703</v>
      </c>
      <c r="J29" s="383"/>
    </row>
    <row r="30" ht="22.5" customHeight="1">
      <c r="B30" s="392"/>
      <c r="C30" s="392"/>
      <c r="D30" s="392"/>
      <c r="E30" s="393">
        <f>SUM(Presupuesto_Comercial[Presupuesto Inicial])</f>
        <v>54382000</v>
      </c>
      <c r="F30" s="393">
        <f>SUM(Presupuesto_Comercial[Reasignado en Junio])</f>
        <v>54382000</v>
      </c>
      <c r="G30" s="393">
        <f>SUM(Presupuesto_Comercial[Reasignación Final])</f>
        <v>54382000</v>
      </c>
      <c r="H30" s="393">
        <f>SUM(Presupuesto_Comercial[Real a Noviembre])</f>
        <v>57798823</v>
      </c>
      <c r="I30" s="394">
        <f>Presupuesto_Comercial[[#TOTALS],[Reasignado en Junio]]-Presupuesto_Comercial[[#TOTALS],[Real a Noviembre]]</f>
        <v>-3416823</v>
      </c>
      <c r="J30" s="395"/>
    </row>
    <row r="33">
      <c r="B33" s="396" t="s">
        <v>550</v>
      </c>
      <c r="I33" s="94">
        <f>D67-I25</f>
        <v>12910644.5</v>
      </c>
    </row>
    <row r="34">
      <c r="B34" s="24" t="s">
        <v>551</v>
      </c>
    </row>
    <row r="35">
      <c r="B35" s="24" t="s">
        <v>552</v>
      </c>
    </row>
    <row r="36">
      <c r="B36" s="24" t="s">
        <v>553</v>
      </c>
    </row>
    <row r="37">
      <c r="B37" s="24" t="s">
        <v>554</v>
      </c>
    </row>
    <row r="39">
      <c r="B39" s="24" t="s">
        <v>555</v>
      </c>
      <c r="C39" s="24" t="s">
        <v>556</v>
      </c>
    </row>
    <row r="40">
      <c r="C40" s="24" t="s">
        <v>557</v>
      </c>
      <c r="D40" s="397">
        <f>465000*2</f>
        <v>930000</v>
      </c>
    </row>
    <row r="41">
      <c r="C41" s="24" t="s">
        <v>558</v>
      </c>
      <c r="D41" s="397">
        <f>71400*2</f>
        <v>142800</v>
      </c>
    </row>
    <row r="42">
      <c r="C42" s="24" t="s">
        <v>559</v>
      </c>
      <c r="D42" s="397">
        <f>322085/2</f>
        <v>161042.5</v>
      </c>
    </row>
    <row r="43">
      <c r="D43" s="140">
        <f>SUM(D40:D42)</f>
        <v>1233842.5</v>
      </c>
    </row>
    <row r="44">
      <c r="B44" s="24"/>
      <c r="C44" s="24"/>
      <c r="D44" s="397"/>
    </row>
    <row r="45">
      <c r="B45" s="24" t="s">
        <v>560</v>
      </c>
      <c r="C45" s="24" t="s">
        <v>556</v>
      </c>
      <c r="D45" s="397"/>
    </row>
    <row r="46">
      <c r="C46" s="24" t="s">
        <v>557</v>
      </c>
      <c r="D46" s="397">
        <f>300000*2</f>
        <v>600000</v>
      </c>
    </row>
    <row r="47">
      <c r="C47" s="24" t="s">
        <v>558</v>
      </c>
      <c r="D47" s="397">
        <f>54622*2</f>
        <v>109244</v>
      </c>
    </row>
    <row r="48">
      <c r="C48" s="24" t="s">
        <v>559</v>
      </c>
      <c r="D48" s="397">
        <v>221413.0</v>
      </c>
    </row>
    <row r="49">
      <c r="D49" s="140">
        <f>SUM(D46:D48)</f>
        <v>930657</v>
      </c>
    </row>
    <row r="50">
      <c r="D50" s="397"/>
    </row>
    <row r="51">
      <c r="B51" s="24" t="s">
        <v>563</v>
      </c>
      <c r="C51" s="24" t="s">
        <v>556</v>
      </c>
      <c r="D51" s="397"/>
    </row>
    <row r="52">
      <c r="C52" s="24" t="s">
        <v>557</v>
      </c>
      <c r="D52" s="397">
        <f>300000*2</f>
        <v>600000</v>
      </c>
    </row>
    <row r="53">
      <c r="C53" s="24" t="s">
        <v>558</v>
      </c>
      <c r="D53" s="397">
        <f>52521*2</f>
        <v>105042</v>
      </c>
    </row>
    <row r="54">
      <c r="C54" s="24" t="s">
        <v>559</v>
      </c>
      <c r="D54" s="397">
        <v>221413.0</v>
      </c>
    </row>
    <row r="55">
      <c r="D55" s="140">
        <f>SUM(D52:D54)</f>
        <v>926455</v>
      </c>
    </row>
    <row r="56">
      <c r="D56" s="397"/>
    </row>
    <row r="57">
      <c r="B57" s="24" t="s">
        <v>564</v>
      </c>
      <c r="C57" s="24" t="s">
        <v>565</v>
      </c>
      <c r="D57" s="397"/>
    </row>
    <row r="58">
      <c r="C58" s="24" t="s">
        <v>557</v>
      </c>
      <c r="D58" s="397">
        <f>300000</f>
        <v>300000</v>
      </c>
    </row>
    <row r="59">
      <c r="C59" s="24" t="s">
        <v>558</v>
      </c>
      <c r="D59" s="397">
        <f>57563*5</f>
        <v>287815</v>
      </c>
    </row>
    <row r="60">
      <c r="C60" s="24" t="s">
        <v>559</v>
      </c>
      <c r="D60" s="397">
        <v>152108.0</v>
      </c>
    </row>
    <row r="61">
      <c r="D61" s="140">
        <f>SUM(D58:D60)</f>
        <v>739923</v>
      </c>
    </row>
    <row r="63">
      <c r="C63" s="24" t="s">
        <v>41</v>
      </c>
      <c r="D63" s="399">
        <f>D43+D49+D55+D61*4</f>
        <v>6050646.5</v>
      </c>
    </row>
    <row r="64">
      <c r="C64" s="400" t="s">
        <v>568</v>
      </c>
      <c r="D64" s="401">
        <f>D63+D49</f>
        <v>6981303.5</v>
      </c>
    </row>
    <row r="66">
      <c r="C66" s="24" t="s">
        <v>569</v>
      </c>
      <c r="D66" s="94">
        <f>D40+D42+D46+D48+D52+D54+(D58+D60)*4</f>
        <v>4542300.5</v>
      </c>
    </row>
    <row r="67">
      <c r="C67" s="400" t="s">
        <v>568</v>
      </c>
      <c r="D67" s="402">
        <f>D66+D46+D48</f>
        <v>5363713.5</v>
      </c>
    </row>
    <row r="69">
      <c r="C69" s="24" t="s">
        <v>558</v>
      </c>
      <c r="D69" s="94">
        <f>D41+D47+D53+D59*4</f>
        <v>1508346</v>
      </c>
    </row>
    <row r="70">
      <c r="D70" s="402">
        <f>D69+D47</f>
        <v>1617590</v>
      </c>
    </row>
  </sheetData>
  <dataValidations>
    <dataValidation type="custom" allowBlank="1" showDropDown="1" sqref="E5:F29 H5:H29">
      <formula1>AND(ISNUMBER(E5),(NOT(OR(NOT(ISERROR(DATEVALUE(E5))), AND(ISNUMBER(E5), LEFT(CELL("format", E5))="D")))))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75"/>
    <col customWidth="1" min="7" max="7" width="30.88"/>
    <col customWidth="1" min="9" max="9" width="21.38"/>
  </cols>
  <sheetData>
    <row r="1">
      <c r="A1" s="5" t="s">
        <v>82</v>
      </c>
    </row>
    <row r="2">
      <c r="G2" s="132" t="s">
        <v>83</v>
      </c>
    </row>
    <row r="3">
      <c r="B3" s="133" t="s">
        <v>84</v>
      </c>
      <c r="C3" s="134" t="s">
        <v>85</v>
      </c>
      <c r="G3" s="135"/>
      <c r="H3" s="136" t="s">
        <v>86</v>
      </c>
      <c r="I3" s="137" t="s">
        <v>87</v>
      </c>
      <c r="J3" s="138" t="s">
        <v>41</v>
      </c>
    </row>
    <row r="4">
      <c r="B4" s="139" t="s">
        <v>88</v>
      </c>
      <c r="C4" s="140">
        <v>736000.0</v>
      </c>
      <c r="D4" s="24" t="s">
        <v>89</v>
      </c>
      <c r="G4" s="141" t="s">
        <v>90</v>
      </c>
      <c r="H4" s="147">
        <f>('METAS VTAS Y OCS'!G69+'METAS VTAS Y OCS'!G79+'METAS VTAS Y OCS'!G87+'METAS VTAS Y OCS'!G99+'METAS VTAS Y OCS'!G104+'METAS VTAS Y OCS'!G110+'METAS VTAS Y OCS'!G111+'METAS VTAS Y OCS'!G112)</f>
        <v>449885</v>
      </c>
      <c r="I4" s="148">
        <v>881000.0</v>
      </c>
      <c r="J4" s="94">
        <f t="shared" ref="J4:J6" si="2">SUM(H4:I4)</f>
        <v>1330885</v>
      </c>
    </row>
    <row r="5">
      <c r="G5" s="141" t="s">
        <v>95</v>
      </c>
      <c r="H5" s="147">
        <f t="shared" ref="H5:I5" si="1">H4-B8</f>
        <v>81885</v>
      </c>
      <c r="I5" s="151">
        <f t="shared" si="1"/>
        <v>513000</v>
      </c>
      <c r="J5" s="94">
        <f t="shared" si="2"/>
        <v>594885</v>
      </c>
    </row>
    <row r="6">
      <c r="B6" s="152" t="s">
        <v>96</v>
      </c>
      <c r="C6" s="153"/>
      <c r="G6" s="154" t="s">
        <v>97</v>
      </c>
      <c r="H6" s="156">
        <f t="shared" ref="H6:I6" si="3">H5*10%</f>
        <v>8188.5</v>
      </c>
      <c r="I6" s="157">
        <f t="shared" si="3"/>
        <v>51300</v>
      </c>
      <c r="J6" s="158">
        <f t="shared" si="2"/>
        <v>59488.5</v>
      </c>
    </row>
    <row r="7">
      <c r="B7" s="159">
        <v>1.0</v>
      </c>
      <c r="C7" s="159">
        <v>2.0</v>
      </c>
    </row>
    <row r="8">
      <c r="B8" s="160">
        <f>C4/2</f>
        <v>368000</v>
      </c>
      <c r="C8" s="160">
        <f>B8</f>
        <v>368000</v>
      </c>
    </row>
    <row r="10">
      <c r="B10" s="132" t="s">
        <v>99</v>
      </c>
    </row>
    <row r="11">
      <c r="B11" s="161" t="s">
        <v>101</v>
      </c>
      <c r="C11" s="162">
        <v>0.5</v>
      </c>
      <c r="D11" s="163">
        <f t="shared" ref="D11:D14" si="4">(C11*100%)/$F$11</f>
        <v>0.5347593583</v>
      </c>
      <c r="E11" s="164">
        <v>0.5</v>
      </c>
      <c r="F11" s="165">
        <f>C11+C12+C13+C14</f>
        <v>0.935</v>
      </c>
      <c r="G11" s="161" t="s">
        <v>101</v>
      </c>
      <c r="H11" s="166">
        <f t="shared" ref="H11:H15" si="5">C11*$H$6</f>
        <v>4094.25</v>
      </c>
      <c r="I11" s="166">
        <f t="shared" ref="I11:I15" si="6">$I$6*C11</f>
        <v>25650</v>
      </c>
      <c r="J11" s="167">
        <f t="shared" ref="J11:J16" si="7">H11+I11</f>
        <v>29744.25</v>
      </c>
    </row>
    <row r="12">
      <c r="B12" s="161" t="s">
        <v>102</v>
      </c>
      <c r="C12" s="162">
        <v>0.25</v>
      </c>
      <c r="D12" s="163">
        <f t="shared" si="4"/>
        <v>0.2673796791</v>
      </c>
      <c r="E12" s="164">
        <v>0.2</v>
      </c>
      <c r="G12" s="161" t="s">
        <v>102</v>
      </c>
      <c r="H12" s="166">
        <f t="shared" si="5"/>
        <v>2047.125</v>
      </c>
      <c r="I12" s="166">
        <f t="shared" si="6"/>
        <v>12825</v>
      </c>
      <c r="J12" s="167">
        <f t="shared" si="7"/>
        <v>14872.125</v>
      </c>
    </row>
    <row r="13">
      <c r="B13" s="161" t="s">
        <v>104</v>
      </c>
      <c r="C13" s="162">
        <v>0.12</v>
      </c>
      <c r="D13" s="163">
        <f t="shared" si="4"/>
        <v>0.128342246</v>
      </c>
      <c r="E13" s="164">
        <v>0.15</v>
      </c>
      <c r="G13" s="161" t="s">
        <v>104</v>
      </c>
      <c r="H13" s="166">
        <f t="shared" si="5"/>
        <v>982.62</v>
      </c>
      <c r="I13" s="166">
        <f t="shared" si="6"/>
        <v>6156</v>
      </c>
      <c r="J13" s="167">
        <f t="shared" si="7"/>
        <v>7138.62</v>
      </c>
    </row>
    <row r="14">
      <c r="B14" s="161" t="s">
        <v>107</v>
      </c>
      <c r="C14" s="162">
        <v>0.065</v>
      </c>
      <c r="D14" s="163">
        <f t="shared" si="4"/>
        <v>0.06951871658</v>
      </c>
      <c r="E14" s="164">
        <v>0.15</v>
      </c>
      <c r="G14" s="161" t="s">
        <v>107</v>
      </c>
      <c r="H14" s="166">
        <f t="shared" si="5"/>
        <v>532.2525</v>
      </c>
      <c r="I14" s="166">
        <f t="shared" si="6"/>
        <v>3334.5</v>
      </c>
      <c r="J14" s="167">
        <f t="shared" si="7"/>
        <v>3866.7525</v>
      </c>
    </row>
    <row r="15">
      <c r="B15" s="161" t="s">
        <v>109</v>
      </c>
      <c r="C15" s="162">
        <v>0.065</v>
      </c>
      <c r="G15" s="161" t="s">
        <v>109</v>
      </c>
      <c r="H15" s="166">
        <f t="shared" si="5"/>
        <v>532.2525</v>
      </c>
      <c r="I15" s="166">
        <f t="shared" si="6"/>
        <v>3334.5</v>
      </c>
      <c r="J15" s="167">
        <f t="shared" si="7"/>
        <v>3866.7525</v>
      </c>
    </row>
    <row r="16">
      <c r="C16" s="165">
        <f>SUM(C11:C15)</f>
        <v>1</v>
      </c>
      <c r="H16" s="176">
        <f t="shared" ref="H16:I16" si="8">SUM(H11:H15)</f>
        <v>8188.5</v>
      </c>
      <c r="I16" s="176">
        <f t="shared" si="8"/>
        <v>51300</v>
      </c>
      <c r="J16" s="176">
        <f t="shared" si="7"/>
        <v>59488.5</v>
      </c>
    </row>
    <row r="17">
      <c r="G17" s="24"/>
      <c r="H17" s="177"/>
      <c r="I17" s="177"/>
      <c r="J17" s="177"/>
    </row>
    <row r="18">
      <c r="G18" s="132" t="s">
        <v>110</v>
      </c>
      <c r="H18" s="177"/>
      <c r="I18" s="177"/>
      <c r="J18" s="177"/>
    </row>
    <row r="19">
      <c r="B19" s="161" t="s">
        <v>101</v>
      </c>
      <c r="C19" s="162">
        <f t="shared" ref="C19:C22" si="9">C11+D11*$D$23</f>
        <v>0.514483066</v>
      </c>
      <c r="G19" s="161" t="s">
        <v>101</v>
      </c>
      <c r="H19" s="166">
        <f t="shared" ref="H19:H23" si="10">C19*$H$6</f>
        <v>4212.844586</v>
      </c>
      <c r="I19" s="166">
        <f t="shared" ref="I19:I23" si="11">$I$6*C19</f>
        <v>26392.98128</v>
      </c>
      <c r="J19" s="167">
        <f t="shared" ref="J19:J24" si="12">H19+I19</f>
        <v>30605.82587</v>
      </c>
      <c r="P19" s="24">
        <v>2026.0</v>
      </c>
    </row>
    <row r="20">
      <c r="B20" s="161" t="s">
        <v>102</v>
      </c>
      <c r="C20" s="162">
        <f t="shared" si="9"/>
        <v>0.257241533</v>
      </c>
      <c r="G20" s="161" t="s">
        <v>102</v>
      </c>
      <c r="H20" s="166">
        <f t="shared" si="10"/>
        <v>2106.422293</v>
      </c>
      <c r="I20" s="166">
        <f t="shared" si="11"/>
        <v>13196.49064</v>
      </c>
      <c r="J20" s="167">
        <f t="shared" si="12"/>
        <v>15302.91293</v>
      </c>
      <c r="P20" s="24" t="s">
        <v>111</v>
      </c>
    </row>
    <row r="21">
      <c r="B21" s="161" t="s">
        <v>104</v>
      </c>
      <c r="C21" s="162">
        <f t="shared" si="9"/>
        <v>0.1234759358</v>
      </c>
      <c r="G21" s="161" t="s">
        <v>104</v>
      </c>
      <c r="H21" s="166">
        <f t="shared" si="10"/>
        <v>1011.082701</v>
      </c>
      <c r="I21" s="166">
        <f t="shared" si="11"/>
        <v>6334.315508</v>
      </c>
      <c r="J21" s="167">
        <f t="shared" si="12"/>
        <v>7345.398209</v>
      </c>
      <c r="P21" s="24">
        <v>2027.0</v>
      </c>
    </row>
    <row r="22">
      <c r="B22" s="161" t="s">
        <v>107</v>
      </c>
      <c r="C22" s="162">
        <f t="shared" si="9"/>
        <v>0.06688279857</v>
      </c>
      <c r="G22" s="161" t="s">
        <v>107</v>
      </c>
      <c r="H22" s="166">
        <f t="shared" si="10"/>
        <v>547.6697961</v>
      </c>
      <c r="I22" s="166">
        <f t="shared" si="11"/>
        <v>3431.087567</v>
      </c>
      <c r="J22" s="167">
        <f t="shared" si="12"/>
        <v>3978.757363</v>
      </c>
      <c r="P22" s="24" t="s">
        <v>113</v>
      </c>
    </row>
    <row r="23">
      <c r="B23" s="161" t="s">
        <v>109</v>
      </c>
      <c r="C23" s="162">
        <f>C15*7/12</f>
        <v>0.03791666667</v>
      </c>
      <c r="D23" s="182">
        <f>C15-C23</f>
        <v>0.02708333333</v>
      </c>
      <c r="G23" s="161" t="s">
        <v>109</v>
      </c>
      <c r="H23" s="166">
        <f t="shared" si="10"/>
        <v>310.480625</v>
      </c>
      <c r="I23" s="166">
        <f t="shared" si="11"/>
        <v>1945.125</v>
      </c>
      <c r="J23" s="167">
        <f t="shared" si="12"/>
        <v>2255.605625</v>
      </c>
      <c r="P23" s="24" t="s">
        <v>114</v>
      </c>
    </row>
    <row r="24">
      <c r="C24" s="165">
        <f>SUM(C19:C23)</f>
        <v>1</v>
      </c>
      <c r="H24" s="176">
        <f t="shared" ref="H24:I24" si="13">SUM(H19:H23)</f>
        <v>8188.5</v>
      </c>
      <c r="I24" s="176">
        <f t="shared" si="13"/>
        <v>51300</v>
      </c>
      <c r="J24" s="176">
        <f t="shared" si="12"/>
        <v>59488.5</v>
      </c>
      <c r="P24" s="24" t="s">
        <v>115</v>
      </c>
    </row>
    <row r="25">
      <c r="M25" s="183" t="s">
        <v>116</v>
      </c>
    </row>
    <row r="26">
      <c r="G26" s="24" t="s">
        <v>117</v>
      </c>
      <c r="H26" s="184" t="s">
        <v>65</v>
      </c>
      <c r="I26" s="184" t="s">
        <v>66</v>
      </c>
      <c r="J26" s="185">
        <v>46082.0</v>
      </c>
      <c r="K26" s="185">
        <v>46113.0</v>
      </c>
      <c r="L26" s="186" t="s">
        <v>118</v>
      </c>
      <c r="M26" s="187">
        <v>46082.0</v>
      </c>
      <c r="N26" s="188">
        <v>46113.0</v>
      </c>
      <c r="O26" s="188">
        <v>46143.0</v>
      </c>
      <c r="P26" s="188">
        <v>46174.0</v>
      </c>
      <c r="Q26" s="184" t="s">
        <v>41</v>
      </c>
    </row>
    <row r="27">
      <c r="G27" s="161" t="s">
        <v>101</v>
      </c>
      <c r="H27" s="189">
        <f t="shared" ref="H27:H28" si="14">H19/2</f>
        <v>2106.422293</v>
      </c>
      <c r="I27" s="189">
        <f t="shared" ref="I27:I28" si="15">H27</f>
        <v>2106.422293</v>
      </c>
      <c r="J27" s="190">
        <f>'METAS VTAS Y OCS'!$G$195*D11/2</f>
        <v>8714.946524</v>
      </c>
      <c r="K27" s="190">
        <f t="shared" ref="K27:K31" si="16">J27</f>
        <v>8714.946524</v>
      </c>
      <c r="L27" s="191">
        <f t="shared" ref="L27:L32" si="17">J27+K27</f>
        <v>17429.89305</v>
      </c>
      <c r="M27" s="192">
        <f>'METAS VTAS Y OCS'!$G$199*D11/4</f>
        <v>5207.874332</v>
      </c>
      <c r="N27" s="190">
        <f t="shared" ref="N27:N31" si="18">M27</f>
        <v>5207.874332</v>
      </c>
      <c r="O27" s="190">
        <f>M27</f>
        <v>5207.874332</v>
      </c>
      <c r="P27" s="190">
        <f>M27</f>
        <v>5207.874332</v>
      </c>
      <c r="Q27" s="190">
        <f t="shared" ref="Q27:Q31" si="20">M27+N27+O27+P27</f>
        <v>20831.49733</v>
      </c>
    </row>
    <row r="28">
      <c r="G28" s="161" t="s">
        <v>102</v>
      </c>
      <c r="H28" s="189">
        <f t="shared" si="14"/>
        <v>1053.211146</v>
      </c>
      <c r="I28" s="189">
        <f t="shared" si="15"/>
        <v>1053.211146</v>
      </c>
      <c r="J28" s="190">
        <f>'METAS VTAS Y OCS'!$G$195*D12/2</f>
        <v>4357.473262</v>
      </c>
      <c r="K28" s="190">
        <f t="shared" si="16"/>
        <v>4357.473262</v>
      </c>
      <c r="L28" s="191">
        <f t="shared" si="17"/>
        <v>8714.946524</v>
      </c>
      <c r="M28" s="192">
        <f>'METAS VTAS Y OCS'!$G$199*D12/4</f>
        <v>2603.937166</v>
      </c>
      <c r="N28" s="190">
        <f t="shared" si="18"/>
        <v>2603.937166</v>
      </c>
      <c r="O28" s="190">
        <f t="shared" ref="O28:P28" si="19">N28</f>
        <v>2603.937166</v>
      </c>
      <c r="P28" s="190">
        <f t="shared" si="19"/>
        <v>2603.937166</v>
      </c>
      <c r="Q28" s="190">
        <f t="shared" si="20"/>
        <v>10415.74866</v>
      </c>
    </row>
    <row r="29">
      <c r="G29" s="161" t="s">
        <v>104</v>
      </c>
      <c r="H29" s="189">
        <f t="shared" ref="H29:H31" si="21">H21</f>
        <v>1011.082701</v>
      </c>
      <c r="I29" s="113"/>
      <c r="J29" s="195">
        <f>'METAS VTAS Y OCS'!$G$195*D13/2</f>
        <v>2091.587166</v>
      </c>
      <c r="K29" s="195">
        <f t="shared" si="16"/>
        <v>2091.587166</v>
      </c>
      <c r="L29" s="196">
        <f t="shared" si="17"/>
        <v>4183.174332</v>
      </c>
      <c r="M29" s="192">
        <f>'METAS VTAS Y OCS'!$G$199*D13/2</f>
        <v>2499.779679</v>
      </c>
      <c r="N29" s="195">
        <f t="shared" si="18"/>
        <v>2499.779679</v>
      </c>
      <c r="O29" s="190"/>
      <c r="P29" s="190"/>
      <c r="Q29" s="190">
        <f t="shared" si="20"/>
        <v>4999.559358</v>
      </c>
    </row>
    <row r="30">
      <c r="G30" s="161" t="s">
        <v>107</v>
      </c>
      <c r="H30" s="189">
        <f t="shared" si="21"/>
        <v>547.6697961</v>
      </c>
      <c r="I30" s="113"/>
      <c r="J30" s="195">
        <f>'METAS VTAS Y OCS'!$G$195*D14/2</f>
        <v>1132.943048</v>
      </c>
      <c r="K30" s="195">
        <f t="shared" si="16"/>
        <v>1132.943048</v>
      </c>
      <c r="L30" s="196">
        <f t="shared" si="17"/>
        <v>2265.886096</v>
      </c>
      <c r="M30" s="192">
        <f>'METAS VTAS Y OCS'!$G$199*D14/2</f>
        <v>1354.047326</v>
      </c>
      <c r="N30" s="195">
        <f t="shared" si="18"/>
        <v>1354.047326</v>
      </c>
      <c r="O30" s="190"/>
      <c r="P30" s="190"/>
      <c r="Q30" s="190">
        <f t="shared" si="20"/>
        <v>2708.094652</v>
      </c>
    </row>
    <row r="31">
      <c r="G31" s="161" t="s">
        <v>109</v>
      </c>
      <c r="H31" s="189">
        <f t="shared" si="21"/>
        <v>310.480625</v>
      </c>
      <c r="I31" s="113"/>
      <c r="J31" s="190">
        <f>'METAS VTAS Y OCS'!$G$195*D15/2</f>
        <v>0</v>
      </c>
      <c r="K31" s="190">
        <f t="shared" si="16"/>
        <v>0</v>
      </c>
      <c r="L31" s="191">
        <f t="shared" si="17"/>
        <v>0</v>
      </c>
      <c r="M31" s="192">
        <f>'METAS VTAS Y OCS'!$G$195*D15/2</f>
        <v>0</v>
      </c>
      <c r="N31" s="190">
        <f t="shared" si="18"/>
        <v>0</v>
      </c>
      <c r="O31" s="190"/>
      <c r="P31" s="190"/>
      <c r="Q31" s="190">
        <f t="shared" si="20"/>
        <v>0</v>
      </c>
    </row>
    <row r="32">
      <c r="H32" s="176">
        <f t="shared" ref="H32:K32" si="22">SUM(H27:H31)</f>
        <v>5028.866561</v>
      </c>
      <c r="I32" s="176">
        <f t="shared" si="22"/>
        <v>3159.633439</v>
      </c>
      <c r="J32" s="176">
        <f t="shared" si="22"/>
        <v>16296.95</v>
      </c>
      <c r="K32" s="176">
        <f t="shared" si="22"/>
        <v>16296.95</v>
      </c>
      <c r="L32" s="176">
        <f t="shared" si="17"/>
        <v>32593.9</v>
      </c>
      <c r="M32" s="204">
        <f t="shared" ref="M32:P32" si="23">SUM(M27:M31)</f>
        <v>11665.6385</v>
      </c>
      <c r="N32" s="176">
        <f t="shared" si="23"/>
        <v>11665.6385</v>
      </c>
      <c r="O32" s="176">
        <f t="shared" si="23"/>
        <v>7811.811497</v>
      </c>
      <c r="P32" s="176">
        <f t="shared" si="23"/>
        <v>7811.811497</v>
      </c>
    </row>
    <row r="34">
      <c r="I34" s="206" t="s">
        <v>122</v>
      </c>
      <c r="M34" s="208">
        <f t="shared" ref="M34:Q34" si="24">M27/1000</f>
        <v>5.207874332</v>
      </c>
      <c r="N34" s="208">
        <f t="shared" si="24"/>
        <v>5.207874332</v>
      </c>
      <c r="O34" s="208">
        <f t="shared" si="24"/>
        <v>5.207874332</v>
      </c>
      <c r="P34" s="208">
        <f t="shared" si="24"/>
        <v>5.207874332</v>
      </c>
      <c r="Q34" s="208">
        <f t="shared" si="24"/>
        <v>20.83149733</v>
      </c>
    </row>
    <row r="35">
      <c r="M35" s="208">
        <f t="shared" ref="M35:Q35" si="25">M28/1000</f>
        <v>2.603937166</v>
      </c>
      <c r="N35" s="208">
        <f t="shared" si="25"/>
        <v>2.603937166</v>
      </c>
      <c r="O35" s="208">
        <f t="shared" si="25"/>
        <v>2.603937166</v>
      </c>
      <c r="P35" s="208">
        <f t="shared" si="25"/>
        <v>2.603937166</v>
      </c>
      <c r="Q35" s="208">
        <f t="shared" si="25"/>
        <v>10.41574866</v>
      </c>
    </row>
    <row r="36">
      <c r="M36" s="208">
        <f t="shared" ref="M36:Q36" si="26">M29/1000</f>
        <v>2.499779679</v>
      </c>
      <c r="N36" s="208">
        <f t="shared" si="26"/>
        <v>2.499779679</v>
      </c>
      <c r="O36" s="208">
        <f t="shared" si="26"/>
        <v>0</v>
      </c>
      <c r="P36" s="208">
        <f t="shared" si="26"/>
        <v>0</v>
      </c>
      <c r="Q36" s="208">
        <f t="shared" si="26"/>
        <v>4.999559358</v>
      </c>
    </row>
    <row r="37">
      <c r="M37" s="208">
        <f t="shared" ref="M37:Q37" si="27">M30/1000</f>
        <v>1.354047326</v>
      </c>
      <c r="N37" s="208">
        <f t="shared" si="27"/>
        <v>1.354047326</v>
      </c>
      <c r="O37" s="208">
        <f t="shared" si="27"/>
        <v>0</v>
      </c>
      <c r="P37" s="208">
        <f t="shared" si="27"/>
        <v>0</v>
      </c>
      <c r="Q37" s="208">
        <f t="shared" si="27"/>
        <v>2.708094652</v>
      </c>
    </row>
    <row r="39">
      <c r="M39" s="208"/>
      <c r="N39" s="208"/>
      <c r="O39" s="208"/>
      <c r="P39" s="208"/>
      <c r="Q39" s="208"/>
    </row>
  </sheetData>
  <mergeCells count="1">
    <mergeCell ref="B6:C6"/>
  </mergeCells>
  <drawing r:id="rId1"/>
</worksheet>
</file>